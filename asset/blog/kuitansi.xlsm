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38D1EF6-CF99-41CF-A5D4-1657C4F95C30}" xr6:coauthVersionLast="36" xr6:coauthVersionMax="36" xr10:uidLastSave="{00000000-0000-0000-0000-000000000000}"/>
  <bookViews>
    <workbookView xWindow="0" yWindow="0" windowWidth="23040" windowHeight="8940" activeTab="5" xr2:uid="{00000000-000D-0000-FFFF-FFFF00000000}"/>
  </bookViews>
  <sheets>
    <sheet name="Home" sheetId="9" r:id="rId1"/>
    <sheet name="DATA UMUM" sheetId="3" r:id="rId2"/>
    <sheet name="DATA KAS" sheetId="10" r:id="rId3"/>
    <sheet name="DATA LAMPIRAN" sheetId="7" r:id="rId4"/>
    <sheet name="KUITANSI UMUM" sheetId="2" r:id="rId5"/>
    <sheet name="SPMB" sheetId="11" r:id="rId6"/>
    <sheet name="SP. Tugas" sheetId="6" r:id="rId7"/>
    <sheet name="Daftar Penerima" sheetId="12" r:id="rId8"/>
    <sheet name="L. UPAH KERJA" sheetId="5" r:id="rId9"/>
    <sheet name="L. Rapat" sheetId="8" r:id="rId10"/>
  </sheets>
  <definedNames>
    <definedName name="_xlnm._FilterDatabase" localSheetId="7" hidden="1">'Daftar Penerima'!$B$12:$B$33</definedName>
    <definedName name="_xlnm._FilterDatabase" localSheetId="4" hidden="1">'KUITANSI UMUM'!$B$5:$B$56</definedName>
    <definedName name="_xlnm._FilterDatabase" localSheetId="6" hidden="1">'SP. Tugas'!$B$14:$B$35</definedName>
    <definedName name="_xlnm._FilterDatabase" localSheetId="5" hidden="1">SPMB!$B$5:$B$63</definedName>
    <definedName name="BPU">'DATA UMUM'!$G$2:$G$503</definedName>
    <definedName name="BPU_LAMPIRAN">'DATA LAMPIRAN'!#REF!</definedName>
    <definedName name="BPU_LAMPIRAN2">'DATA LAMPIRAN'!$A$4:$N$491</definedName>
    <definedName name="DAFTAR_TOKO">'DATA UMUM'!$I$4:$K$217</definedName>
    <definedName name="data_guru">'DATA UMUM'!$B$17:$D$43</definedName>
    <definedName name="DATA_ITEM">'DATA KAS'!$B$3:$O$500</definedName>
    <definedName name="DATA_KAS">'DATA KAS'!$A$3:$Q$500</definedName>
    <definedName name="data_kas3">'DATA KAS'!$G$3:$R$499</definedName>
    <definedName name="DATA_LAMPIRAN">'DATA LAMPIRAN'!$B$4:$N$491</definedName>
    <definedName name="data_lampiran2">'DATA LAMPIRAN'!$B$4:$N$490</definedName>
    <definedName name="data_lampiran3">'DATA LAMPIRAN'!$A$4:$N$490</definedName>
    <definedName name="nama_guru">'DATA UMUM'!$B$17:$B$43</definedName>
    <definedName name="NAMA_TOKO">'DATA UMUM'!$I$4:$I$217</definedName>
    <definedName name="nama_transaksi">'DATA LAMPIRAN'!$B$4:$B$490</definedName>
    <definedName name="NO_BUKTI">'DATA KAS'!$H$3:$H$500</definedName>
    <definedName name="_xlnm.Print_Area" localSheetId="7">'Daftar Penerima'!$D$3:$N$44</definedName>
    <definedName name="_xlnm.Print_Area" localSheetId="4">'KUITANSI UMUM'!$E$2:$S$56</definedName>
    <definedName name="_xlnm.Print_Area" localSheetId="9">'L. Rapat'!$A$1:$I$33</definedName>
    <definedName name="_xlnm.Print_Area" localSheetId="8">'L. UPAH KERJA'!$A$1:$L$24</definedName>
    <definedName name="_xlnm.Print_Area" localSheetId="6">'SP. Tugas'!$D$3:$L$50</definedName>
    <definedName name="_xlnm.Print_Area" localSheetId="5">SPMB!$E$2:$P$63</definedName>
    <definedName name="URAIAN">'DATA KAS'!$G$3:$G$500</definedName>
    <definedName name="URAIAN2">'DATA LAMPIRAN'!$B$4:$B$491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C29" i="2"/>
  <c r="C19" i="2"/>
  <c r="C20" i="2"/>
  <c r="C21" i="2"/>
  <c r="C22" i="2"/>
  <c r="C23" i="2"/>
  <c r="C24" i="2"/>
  <c r="C25" i="2"/>
  <c r="C26" i="2"/>
  <c r="C27" i="2"/>
  <c r="C18" i="2"/>
  <c r="E33" i="8" l="1"/>
  <c r="E32" i="8"/>
  <c r="E27" i="8"/>
  <c r="A6" i="8"/>
  <c r="A5" i="8"/>
  <c r="A4" i="8"/>
  <c r="B16" i="8"/>
  <c r="B17" i="8"/>
  <c r="B18" i="8"/>
  <c r="B19" i="8"/>
  <c r="B20" i="8"/>
  <c r="B21" i="8"/>
  <c r="C4" i="5"/>
  <c r="D17" i="3"/>
  <c r="D18" i="3"/>
  <c r="B18" i="3" l="1"/>
  <c r="B15" i="8" s="1"/>
  <c r="B17" i="3"/>
  <c r="F5" i="7" l="1"/>
  <c r="F6" i="7"/>
  <c r="F14" i="7"/>
  <c r="F22" i="7"/>
  <c r="F30" i="7"/>
  <c r="F38" i="7"/>
  <c r="F46" i="7"/>
  <c r="F54" i="7"/>
  <c r="F62" i="7"/>
  <c r="F70" i="7"/>
  <c r="F78" i="7"/>
  <c r="F86" i="7"/>
  <c r="F94" i="7"/>
  <c r="F102" i="7"/>
  <c r="F110" i="7"/>
  <c r="F118" i="7"/>
  <c r="F126" i="7"/>
  <c r="F134" i="7"/>
  <c r="F142" i="7"/>
  <c r="F150" i="7"/>
  <c r="F158" i="7"/>
  <c r="F166" i="7"/>
  <c r="F174" i="7"/>
  <c r="F182" i="7"/>
  <c r="F190" i="7"/>
  <c r="F198" i="7"/>
  <c r="F206" i="7"/>
  <c r="F214" i="7"/>
  <c r="F222" i="7"/>
  <c r="F230" i="7"/>
  <c r="F238" i="7"/>
  <c r="F246" i="7"/>
  <c r="F254" i="7"/>
  <c r="F262" i="7"/>
  <c r="F270" i="7"/>
  <c r="F278" i="7"/>
  <c r="F286" i="7"/>
  <c r="F294" i="7"/>
  <c r="F302" i="7"/>
  <c r="F310" i="7"/>
  <c r="F318" i="7"/>
  <c r="F326" i="7"/>
  <c r="F334" i="7"/>
  <c r="F342" i="7"/>
  <c r="F350" i="7"/>
  <c r="F358" i="7"/>
  <c r="F366" i="7"/>
  <c r="F374" i="7"/>
  <c r="F382" i="7"/>
  <c r="F390" i="7"/>
  <c r="F398" i="7"/>
  <c r="F406" i="7"/>
  <c r="F414" i="7"/>
  <c r="F422" i="7"/>
  <c r="F430" i="7"/>
  <c r="F438" i="7"/>
  <c r="F446" i="7"/>
  <c r="F454" i="7"/>
  <c r="F462" i="7"/>
  <c r="F470" i="7"/>
  <c r="F478" i="7"/>
  <c r="F486" i="7"/>
  <c r="F25" i="7"/>
  <c r="F73" i="7"/>
  <c r="F89" i="7"/>
  <c r="F113" i="7"/>
  <c r="F137" i="7"/>
  <c r="F161" i="7"/>
  <c r="F193" i="7"/>
  <c r="F217" i="7"/>
  <c r="F241" i="7"/>
  <c r="F265" i="7"/>
  <c r="F289" i="7"/>
  <c r="F313" i="7"/>
  <c r="F337" i="7"/>
  <c r="F361" i="7"/>
  <c r="F385" i="7"/>
  <c r="F409" i="7"/>
  <c r="F433" i="7"/>
  <c r="F457" i="7"/>
  <c r="F473" i="7"/>
  <c r="F213" i="7"/>
  <c r="F293" i="7"/>
  <c r="F333" i="7"/>
  <c r="F7" i="7"/>
  <c r="F15" i="7"/>
  <c r="F23" i="7"/>
  <c r="F31" i="7"/>
  <c r="F39" i="7"/>
  <c r="F47" i="7"/>
  <c r="F55" i="7"/>
  <c r="F63" i="7"/>
  <c r="F71" i="7"/>
  <c r="F79" i="7"/>
  <c r="F87" i="7"/>
  <c r="F95" i="7"/>
  <c r="F103" i="7"/>
  <c r="F111" i="7"/>
  <c r="F119" i="7"/>
  <c r="F127" i="7"/>
  <c r="F135" i="7"/>
  <c r="F143" i="7"/>
  <c r="F151" i="7"/>
  <c r="F159" i="7"/>
  <c r="F167" i="7"/>
  <c r="F175" i="7"/>
  <c r="F183" i="7"/>
  <c r="F191" i="7"/>
  <c r="F199" i="7"/>
  <c r="F207" i="7"/>
  <c r="F215" i="7"/>
  <c r="F223" i="7"/>
  <c r="F231" i="7"/>
  <c r="F239" i="7"/>
  <c r="F247" i="7"/>
  <c r="F255" i="7"/>
  <c r="F263" i="7"/>
  <c r="F271" i="7"/>
  <c r="F279" i="7"/>
  <c r="F287" i="7"/>
  <c r="F295" i="7"/>
  <c r="F303" i="7"/>
  <c r="F311" i="7"/>
  <c r="F319" i="7"/>
  <c r="F327" i="7"/>
  <c r="F335" i="7"/>
  <c r="F343" i="7"/>
  <c r="F351" i="7"/>
  <c r="F359" i="7"/>
  <c r="F367" i="7"/>
  <c r="F375" i="7"/>
  <c r="F383" i="7"/>
  <c r="F391" i="7"/>
  <c r="F399" i="7"/>
  <c r="F407" i="7"/>
  <c r="F415" i="7"/>
  <c r="F423" i="7"/>
  <c r="F431" i="7"/>
  <c r="F439" i="7"/>
  <c r="F447" i="7"/>
  <c r="F455" i="7"/>
  <c r="F463" i="7"/>
  <c r="F471" i="7"/>
  <c r="F479" i="7"/>
  <c r="F487" i="7"/>
  <c r="F17" i="7"/>
  <c r="F65" i="7"/>
  <c r="F97" i="7"/>
  <c r="F121" i="7"/>
  <c r="F145" i="7"/>
  <c r="F169" i="7"/>
  <c r="F185" i="7"/>
  <c r="F209" i="7"/>
  <c r="F233" i="7"/>
  <c r="F257" i="7"/>
  <c r="F281" i="7"/>
  <c r="F305" i="7"/>
  <c r="F329" i="7"/>
  <c r="F353" i="7"/>
  <c r="F377" i="7"/>
  <c r="F401" i="7"/>
  <c r="F417" i="7"/>
  <c r="F441" i="7"/>
  <c r="F465" i="7"/>
  <c r="F489" i="7"/>
  <c r="F237" i="7"/>
  <c r="F277" i="7"/>
  <c r="F309" i="7"/>
  <c r="F8" i="7"/>
  <c r="F16" i="7"/>
  <c r="F24" i="7"/>
  <c r="F32" i="7"/>
  <c r="F40" i="7"/>
  <c r="F48" i="7"/>
  <c r="F56" i="7"/>
  <c r="F64" i="7"/>
  <c r="F72" i="7"/>
  <c r="F80" i="7"/>
  <c r="F88" i="7"/>
  <c r="F96" i="7"/>
  <c r="F104" i="7"/>
  <c r="F112" i="7"/>
  <c r="F120" i="7"/>
  <c r="F128" i="7"/>
  <c r="F136" i="7"/>
  <c r="F144" i="7"/>
  <c r="F152" i="7"/>
  <c r="F160" i="7"/>
  <c r="F168" i="7"/>
  <c r="F176" i="7"/>
  <c r="F184" i="7"/>
  <c r="F192" i="7"/>
  <c r="F200" i="7"/>
  <c r="F208" i="7"/>
  <c r="F216" i="7"/>
  <c r="F224" i="7"/>
  <c r="F232" i="7"/>
  <c r="F240" i="7"/>
  <c r="F248" i="7"/>
  <c r="F256" i="7"/>
  <c r="F264" i="7"/>
  <c r="F272" i="7"/>
  <c r="F280" i="7"/>
  <c r="F288" i="7"/>
  <c r="F296" i="7"/>
  <c r="F304" i="7"/>
  <c r="F312" i="7"/>
  <c r="F320" i="7"/>
  <c r="F328" i="7"/>
  <c r="F336" i="7"/>
  <c r="F344" i="7"/>
  <c r="F352" i="7"/>
  <c r="F360" i="7"/>
  <c r="F368" i="7"/>
  <c r="F376" i="7"/>
  <c r="F384" i="7"/>
  <c r="F392" i="7"/>
  <c r="F400" i="7"/>
  <c r="F408" i="7"/>
  <c r="F416" i="7"/>
  <c r="F424" i="7"/>
  <c r="F432" i="7"/>
  <c r="F440" i="7"/>
  <c r="F448" i="7"/>
  <c r="F456" i="7"/>
  <c r="F464" i="7"/>
  <c r="F472" i="7"/>
  <c r="F480" i="7"/>
  <c r="F488" i="7"/>
  <c r="F33" i="7"/>
  <c r="F41" i="7"/>
  <c r="F49" i="7"/>
  <c r="F57" i="7"/>
  <c r="F81" i="7"/>
  <c r="F105" i="7"/>
  <c r="F129" i="7"/>
  <c r="F153" i="7"/>
  <c r="F177" i="7"/>
  <c r="F201" i="7"/>
  <c r="F225" i="7"/>
  <c r="F249" i="7"/>
  <c r="F273" i="7"/>
  <c r="F297" i="7"/>
  <c r="F321" i="7"/>
  <c r="F345" i="7"/>
  <c r="F369" i="7"/>
  <c r="F393" i="7"/>
  <c r="F425" i="7"/>
  <c r="F449" i="7"/>
  <c r="F481" i="7"/>
  <c r="F229" i="7"/>
  <c r="F285" i="7"/>
  <c r="F325" i="7"/>
  <c r="F9" i="7"/>
  <c r="F10" i="7"/>
  <c r="F18" i="7"/>
  <c r="F26" i="7"/>
  <c r="F34" i="7"/>
  <c r="F42" i="7"/>
  <c r="F50" i="7"/>
  <c r="F58" i="7"/>
  <c r="F66" i="7"/>
  <c r="F74" i="7"/>
  <c r="F82" i="7"/>
  <c r="F90" i="7"/>
  <c r="F98" i="7"/>
  <c r="F106" i="7"/>
  <c r="F114" i="7"/>
  <c r="F122" i="7"/>
  <c r="F130" i="7"/>
  <c r="F138" i="7"/>
  <c r="F146" i="7"/>
  <c r="F154" i="7"/>
  <c r="F162" i="7"/>
  <c r="F170" i="7"/>
  <c r="F178" i="7"/>
  <c r="F186" i="7"/>
  <c r="F194" i="7"/>
  <c r="F202" i="7"/>
  <c r="F210" i="7"/>
  <c r="F218" i="7"/>
  <c r="F226" i="7"/>
  <c r="F234" i="7"/>
  <c r="F242" i="7"/>
  <c r="F250" i="7"/>
  <c r="F258" i="7"/>
  <c r="F266" i="7"/>
  <c r="F274" i="7"/>
  <c r="F282" i="7"/>
  <c r="F290" i="7"/>
  <c r="F298" i="7"/>
  <c r="F306" i="7"/>
  <c r="F314" i="7"/>
  <c r="F322" i="7"/>
  <c r="F330" i="7"/>
  <c r="F338" i="7"/>
  <c r="F346" i="7"/>
  <c r="F354" i="7"/>
  <c r="F362" i="7"/>
  <c r="F370" i="7"/>
  <c r="F378" i="7"/>
  <c r="F386" i="7"/>
  <c r="F394" i="7"/>
  <c r="F402" i="7"/>
  <c r="F410" i="7"/>
  <c r="F418" i="7"/>
  <c r="F426" i="7"/>
  <c r="F434" i="7"/>
  <c r="F442" i="7"/>
  <c r="F450" i="7"/>
  <c r="F458" i="7"/>
  <c r="F466" i="7"/>
  <c r="F474" i="7"/>
  <c r="F482" i="7"/>
  <c r="F490" i="7"/>
  <c r="F435" i="7"/>
  <c r="F451" i="7"/>
  <c r="F459" i="7"/>
  <c r="F475" i="7"/>
  <c r="F483" i="7"/>
  <c r="F173" i="7"/>
  <c r="F205" i="7"/>
  <c r="F245" i="7"/>
  <c r="F269" i="7"/>
  <c r="F317" i="7"/>
  <c r="F11" i="7"/>
  <c r="F19" i="7"/>
  <c r="F27" i="7"/>
  <c r="F35" i="7"/>
  <c r="F43" i="7"/>
  <c r="F51" i="7"/>
  <c r="F59" i="7"/>
  <c r="F67" i="7"/>
  <c r="F75" i="7"/>
  <c r="F83" i="7"/>
  <c r="F91" i="7"/>
  <c r="F99" i="7"/>
  <c r="F107" i="7"/>
  <c r="F115" i="7"/>
  <c r="F123" i="7"/>
  <c r="F131" i="7"/>
  <c r="F139" i="7"/>
  <c r="F147" i="7"/>
  <c r="F155" i="7"/>
  <c r="F163" i="7"/>
  <c r="F171" i="7"/>
  <c r="F179" i="7"/>
  <c r="F187" i="7"/>
  <c r="F195" i="7"/>
  <c r="F203" i="7"/>
  <c r="F211" i="7"/>
  <c r="F219" i="7"/>
  <c r="F227" i="7"/>
  <c r="F235" i="7"/>
  <c r="F243" i="7"/>
  <c r="F251" i="7"/>
  <c r="F259" i="7"/>
  <c r="F267" i="7"/>
  <c r="F275" i="7"/>
  <c r="F283" i="7"/>
  <c r="F291" i="7"/>
  <c r="F299" i="7"/>
  <c r="F307" i="7"/>
  <c r="F315" i="7"/>
  <c r="F323" i="7"/>
  <c r="F331" i="7"/>
  <c r="F339" i="7"/>
  <c r="F347" i="7"/>
  <c r="F355" i="7"/>
  <c r="F363" i="7"/>
  <c r="F371" i="7"/>
  <c r="F379" i="7"/>
  <c r="F387" i="7"/>
  <c r="F395" i="7"/>
  <c r="F403" i="7"/>
  <c r="F411" i="7"/>
  <c r="F419" i="7"/>
  <c r="F427" i="7"/>
  <c r="F443" i="7"/>
  <c r="F467" i="7"/>
  <c r="F165" i="7"/>
  <c r="F261" i="7"/>
  <c r="F12" i="7"/>
  <c r="F20" i="7"/>
  <c r="F28" i="7"/>
  <c r="F36" i="7"/>
  <c r="F44" i="7"/>
  <c r="F52" i="7"/>
  <c r="F60" i="7"/>
  <c r="F68" i="7"/>
  <c r="F76" i="7"/>
  <c r="F84" i="7"/>
  <c r="F92" i="7"/>
  <c r="F100" i="7"/>
  <c r="F108" i="7"/>
  <c r="F116" i="7"/>
  <c r="F124" i="7"/>
  <c r="F132" i="7"/>
  <c r="F140" i="7"/>
  <c r="F148" i="7"/>
  <c r="F156" i="7"/>
  <c r="F164" i="7"/>
  <c r="F172" i="7"/>
  <c r="F180" i="7"/>
  <c r="F188" i="7"/>
  <c r="F196" i="7"/>
  <c r="F204" i="7"/>
  <c r="F212" i="7"/>
  <c r="F220" i="7"/>
  <c r="F228" i="7"/>
  <c r="F236" i="7"/>
  <c r="F244" i="7"/>
  <c r="F252" i="7"/>
  <c r="F260" i="7"/>
  <c r="F268" i="7"/>
  <c r="F276" i="7"/>
  <c r="F284" i="7"/>
  <c r="F292" i="7"/>
  <c r="F300" i="7"/>
  <c r="F308" i="7"/>
  <c r="F316" i="7"/>
  <c r="F324" i="7"/>
  <c r="F332" i="7"/>
  <c r="F340" i="7"/>
  <c r="F348" i="7"/>
  <c r="F356" i="7"/>
  <c r="F364" i="7"/>
  <c r="F372" i="7"/>
  <c r="F380" i="7"/>
  <c r="F388" i="7"/>
  <c r="F396" i="7"/>
  <c r="F404" i="7"/>
  <c r="F412" i="7"/>
  <c r="F420" i="7"/>
  <c r="F428" i="7"/>
  <c r="F436" i="7"/>
  <c r="F444" i="7"/>
  <c r="F452" i="7"/>
  <c r="F460" i="7"/>
  <c r="F468" i="7"/>
  <c r="F476" i="7"/>
  <c r="F484" i="7"/>
  <c r="F13" i="7"/>
  <c r="F21" i="7"/>
  <c r="F29" i="7"/>
  <c r="F37" i="7"/>
  <c r="F45" i="7"/>
  <c r="F53" i="7"/>
  <c r="F61" i="7"/>
  <c r="F69" i="7"/>
  <c r="F77" i="7"/>
  <c r="F85" i="7"/>
  <c r="F93" i="7"/>
  <c r="F101" i="7"/>
  <c r="F109" i="7"/>
  <c r="F117" i="7"/>
  <c r="F125" i="7"/>
  <c r="F133" i="7"/>
  <c r="F141" i="7"/>
  <c r="F149" i="7"/>
  <c r="F157" i="7"/>
  <c r="F181" i="7"/>
  <c r="F189" i="7"/>
  <c r="F197" i="7"/>
  <c r="F221" i="7"/>
  <c r="F253" i="7"/>
  <c r="F301" i="7"/>
  <c r="F349" i="7"/>
  <c r="F413" i="7"/>
  <c r="F477" i="7"/>
  <c r="F405" i="7"/>
  <c r="F357" i="7"/>
  <c r="F421" i="7"/>
  <c r="F485" i="7"/>
  <c r="F365" i="7"/>
  <c r="F429" i="7"/>
  <c r="F373" i="7"/>
  <c r="F437" i="7"/>
  <c r="F381" i="7"/>
  <c r="F445" i="7"/>
  <c r="F453" i="7"/>
  <c r="F397" i="7"/>
  <c r="F341" i="7"/>
  <c r="F389" i="7"/>
  <c r="F461" i="7"/>
  <c r="F469" i="7"/>
  <c r="B14" i="8"/>
  <c r="AC14" i="11"/>
  <c r="O63" i="11"/>
  <c r="K10" i="5"/>
  <c r="K9" i="5"/>
  <c r="E37" i="6"/>
  <c r="K12" i="5" l="1"/>
  <c r="S10" i="11"/>
  <c r="G15" i="11" l="1"/>
  <c r="G13" i="11"/>
  <c r="G12" i="11"/>
  <c r="K6" i="10" l="1"/>
  <c r="K7" i="10"/>
  <c r="K8" i="10"/>
  <c r="K9" i="10"/>
  <c r="K10" i="10"/>
  <c r="K11" i="10"/>
  <c r="K12" i="10"/>
  <c r="K13" i="10"/>
  <c r="K14" i="10"/>
  <c r="K15" i="10"/>
  <c r="K16" i="10"/>
  <c r="K5" i="10"/>
  <c r="G42" i="10"/>
  <c r="G35" i="10"/>
  <c r="G36" i="10"/>
  <c r="G34" i="10"/>
  <c r="G9" i="10"/>
  <c r="G10" i="10"/>
  <c r="G11" i="10"/>
  <c r="G12" i="10"/>
  <c r="G13" i="10"/>
  <c r="G14" i="10"/>
  <c r="G15" i="10"/>
  <c r="G16" i="10"/>
  <c r="G6" i="10"/>
  <c r="G7" i="10"/>
  <c r="G8" i="10"/>
  <c r="G5" i="10"/>
  <c r="H38" i="6" l="1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D11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14" i="12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16" i="6"/>
  <c r="D13" i="6"/>
  <c r="A6" i="7" l="1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5" i="7"/>
  <c r="A4" i="7"/>
  <c r="F16" i="6" l="1"/>
  <c r="H25" i="6"/>
  <c r="H34" i="6"/>
  <c r="H22" i="6"/>
  <c r="F27" i="6"/>
  <c r="H21" i="6"/>
  <c r="G35" i="6"/>
  <c r="F24" i="6"/>
  <c r="G33" i="6"/>
  <c r="G28" i="6"/>
  <c r="G31" i="6"/>
  <c r="G26" i="6"/>
  <c r="E15" i="12"/>
  <c r="F35" i="6"/>
  <c r="H29" i="6"/>
  <c r="H23" i="6"/>
  <c r="H32" i="6"/>
  <c r="F23" i="6"/>
  <c r="F32" i="6"/>
  <c r="F34" i="6"/>
  <c r="H16" i="6"/>
  <c r="G34" i="6"/>
  <c r="H30" i="6"/>
  <c r="G30" i="6"/>
  <c r="G23" i="6"/>
  <c r="F25" i="6"/>
  <c r="F20" i="6"/>
  <c r="F22" i="6"/>
  <c r="G32" i="6"/>
  <c r="H19" i="6"/>
  <c r="H18" i="6"/>
  <c r="H17" i="6"/>
  <c r="F33" i="6"/>
  <c r="F21" i="6"/>
  <c r="F29" i="6"/>
  <c r="H24" i="6"/>
  <c r="F31" i="6"/>
  <c r="H27" i="6"/>
  <c r="H26" i="6"/>
  <c r="F19" i="6"/>
  <c r="F28" i="6"/>
  <c r="G27" i="6"/>
  <c r="E14" i="12"/>
  <c r="B14" i="12" s="1"/>
  <c r="F18" i="6"/>
  <c r="H20" i="6"/>
  <c r="F17" i="6"/>
  <c r="G25" i="6"/>
  <c r="H31" i="6"/>
  <c r="H35" i="6"/>
  <c r="G29" i="6"/>
  <c r="G24" i="6"/>
  <c r="F26" i="6"/>
  <c r="H28" i="6"/>
  <c r="F30" i="6"/>
  <c r="H33" i="6"/>
  <c r="E19" i="12"/>
  <c r="E17" i="12"/>
  <c r="E16" i="12"/>
  <c r="E18" i="12"/>
  <c r="G22" i="12"/>
  <c r="E32" i="12"/>
  <c r="E24" i="12"/>
  <c r="E31" i="12"/>
  <c r="E23" i="12"/>
  <c r="E25" i="12"/>
  <c r="E22" i="12"/>
  <c r="H21" i="12"/>
  <c r="E29" i="12"/>
  <c r="E21" i="12"/>
  <c r="E28" i="12"/>
  <c r="E20" i="12"/>
  <c r="E27" i="12"/>
  <c r="G30" i="12"/>
  <c r="E33" i="12"/>
  <c r="E30" i="12"/>
  <c r="E26" i="12"/>
  <c r="J21" i="12"/>
  <c r="G29" i="12"/>
  <c r="G21" i="12"/>
  <c r="F27" i="12"/>
  <c r="G28" i="12"/>
  <c r="G20" i="12"/>
  <c r="J31" i="12"/>
  <c r="H27" i="12"/>
  <c r="K24" i="12"/>
  <c r="G27" i="12"/>
  <c r="G19" i="12"/>
  <c r="H23" i="12"/>
  <c r="G14" i="12"/>
  <c r="G26" i="12"/>
  <c r="G18" i="12"/>
  <c r="G33" i="12"/>
  <c r="G25" i="12"/>
  <c r="G17" i="12"/>
  <c r="I24" i="12"/>
  <c r="G32" i="12"/>
  <c r="G24" i="12"/>
  <c r="G16" i="12"/>
  <c r="G31" i="12"/>
  <c r="G23" i="12"/>
  <c r="G15" i="12"/>
  <c r="F26" i="12"/>
  <c r="F24" i="12"/>
  <c r="K32" i="12"/>
  <c r="I32" i="12"/>
  <c r="J29" i="12"/>
  <c r="H31" i="12"/>
  <c r="I27" i="12"/>
  <c r="J27" i="12"/>
  <c r="F32" i="12"/>
  <c r="H29" i="12"/>
  <c r="I26" i="12"/>
  <c r="J23" i="12"/>
  <c r="K26" i="12"/>
  <c r="F33" i="12"/>
  <c r="F25" i="12"/>
  <c r="H28" i="12"/>
  <c r="H20" i="12"/>
  <c r="I33" i="12"/>
  <c r="I25" i="12"/>
  <c r="J28" i="12"/>
  <c r="K33" i="12"/>
  <c r="K25" i="12"/>
  <c r="F31" i="12"/>
  <c r="F23" i="12"/>
  <c r="H26" i="12"/>
  <c r="H18" i="12"/>
  <c r="I31" i="12"/>
  <c r="I23" i="12"/>
  <c r="J26" i="12"/>
  <c r="K31" i="12"/>
  <c r="K23" i="12"/>
  <c r="F30" i="12"/>
  <c r="F22" i="12"/>
  <c r="H33" i="12"/>
  <c r="H25" i="12"/>
  <c r="H17" i="12"/>
  <c r="I30" i="12"/>
  <c r="I22" i="12"/>
  <c r="J33" i="12"/>
  <c r="J25" i="12"/>
  <c r="K30" i="12"/>
  <c r="K22" i="12"/>
  <c r="F29" i="12"/>
  <c r="F21" i="12"/>
  <c r="H32" i="12"/>
  <c r="H24" i="12"/>
  <c r="I29" i="12"/>
  <c r="I21" i="12"/>
  <c r="J32" i="12"/>
  <c r="J24" i="12"/>
  <c r="K29" i="12"/>
  <c r="K21" i="12"/>
  <c r="F28" i="12"/>
  <c r="I28" i="12"/>
  <c r="K28" i="12"/>
  <c r="H30" i="12"/>
  <c r="H22" i="12"/>
  <c r="J30" i="12"/>
  <c r="J22" i="12"/>
  <c r="K27" i="12"/>
  <c r="L43" i="12" l="1"/>
  <c r="L42" i="12"/>
  <c r="D6" i="12"/>
  <c r="D7" i="12"/>
  <c r="D8" i="12"/>
  <c r="E44" i="12"/>
  <c r="E42" i="12"/>
  <c r="E37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J50" i="6" l="1"/>
  <c r="J48" i="6"/>
  <c r="J43" i="6"/>
  <c r="D38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R4" i="10" l="1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3" i="10"/>
  <c r="G16" i="6"/>
  <c r="G17" i="6"/>
  <c r="G18" i="6"/>
  <c r="O61" i="11"/>
  <c r="O56" i="11"/>
  <c r="E6" i="11"/>
  <c r="E7" i="11"/>
  <c r="E5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A45" i="11"/>
  <c r="D8" i="6"/>
  <c r="D7" i="6"/>
  <c r="D6" i="6"/>
  <c r="F4" i="7" l="1"/>
  <c r="G20" i="6"/>
  <c r="G19" i="6"/>
  <c r="F16" i="12"/>
  <c r="H16" i="12"/>
  <c r="L35" i="12"/>
  <c r="H19" i="12"/>
  <c r="A38" i="11"/>
  <c r="A46" i="11"/>
  <c r="A23" i="11"/>
  <c r="A31" i="11"/>
  <c r="A39" i="11"/>
  <c r="A47" i="11"/>
  <c r="A32" i="11"/>
  <c r="A25" i="11"/>
  <c r="A33" i="11"/>
  <c r="A41" i="11"/>
  <c r="A49" i="11"/>
  <c r="A30" i="11"/>
  <c r="B6" i="11"/>
  <c r="A24" i="11"/>
  <c r="A40" i="11"/>
  <c r="A48" i="11"/>
  <c r="A26" i="11"/>
  <c r="A34" i="11"/>
  <c r="A42" i="11"/>
  <c r="A27" i="11"/>
  <c r="A20" i="11"/>
  <c r="A28" i="11"/>
  <c r="A36" i="11"/>
  <c r="A44" i="11"/>
  <c r="A22" i="11"/>
  <c r="A35" i="11"/>
  <c r="A43" i="11"/>
  <c r="A21" i="11"/>
  <c r="A29" i="11"/>
  <c r="A37" i="11"/>
  <c r="I499" i="10"/>
  <c r="F17" i="12" l="1"/>
  <c r="F18" i="12"/>
  <c r="G22" i="6"/>
  <c r="F20" i="12"/>
  <c r="G21" i="6"/>
  <c r="F19" i="12"/>
  <c r="F14" i="12"/>
  <c r="H2" i="6"/>
  <c r="I2" i="12"/>
  <c r="M9" i="12" s="1"/>
  <c r="K4" i="7"/>
  <c r="H14" i="12" s="1"/>
  <c r="L6" i="7"/>
  <c r="L14" i="7"/>
  <c r="L30" i="7"/>
  <c r="L38" i="7"/>
  <c r="L46" i="7"/>
  <c r="L54" i="7"/>
  <c r="L62" i="7"/>
  <c r="L70" i="7"/>
  <c r="L78" i="7"/>
  <c r="L86" i="7"/>
  <c r="L94" i="7"/>
  <c r="L102" i="7"/>
  <c r="L110" i="7"/>
  <c r="L118" i="7"/>
  <c r="L126" i="7"/>
  <c r="L134" i="7"/>
  <c r="L142" i="7"/>
  <c r="L150" i="7"/>
  <c r="L158" i="7"/>
  <c r="L166" i="7"/>
  <c r="L174" i="7"/>
  <c r="L182" i="7"/>
  <c r="L190" i="7"/>
  <c r="L198" i="7"/>
  <c r="L206" i="7"/>
  <c r="L214" i="7"/>
  <c r="L222" i="7"/>
  <c r="L230" i="7"/>
  <c r="L238" i="7"/>
  <c r="L246" i="7"/>
  <c r="L254" i="7"/>
  <c r="L262" i="7"/>
  <c r="L270" i="7"/>
  <c r="L278" i="7"/>
  <c r="L286" i="7"/>
  <c r="L294" i="7"/>
  <c r="L302" i="7"/>
  <c r="L310" i="7"/>
  <c r="L318" i="7"/>
  <c r="L326" i="7"/>
  <c r="L334" i="7"/>
  <c r="L342" i="7"/>
  <c r="L350" i="7"/>
  <c r="L358" i="7"/>
  <c r="L366" i="7"/>
  <c r="L374" i="7"/>
  <c r="L382" i="7"/>
  <c r="L390" i="7"/>
  <c r="L398" i="7"/>
  <c r="L406" i="7"/>
  <c r="L414" i="7"/>
  <c r="L422" i="7"/>
  <c r="L430" i="7"/>
  <c r="L438" i="7"/>
  <c r="L446" i="7"/>
  <c r="L454" i="7"/>
  <c r="L462" i="7"/>
  <c r="L470" i="7"/>
  <c r="L478" i="7"/>
  <c r="L486" i="7"/>
  <c r="L147" i="7"/>
  <c r="L219" i="7"/>
  <c r="L275" i="7"/>
  <c r="L331" i="7"/>
  <c r="L387" i="7"/>
  <c r="L435" i="7"/>
  <c r="L4" i="7"/>
  <c r="L444" i="7"/>
  <c r="K5" i="7"/>
  <c r="H15" i="12" s="1"/>
  <c r="L7" i="7"/>
  <c r="L15" i="7"/>
  <c r="L31" i="7"/>
  <c r="L39" i="7"/>
  <c r="L47" i="7"/>
  <c r="L55" i="7"/>
  <c r="L63" i="7"/>
  <c r="L71" i="7"/>
  <c r="L79" i="7"/>
  <c r="L87" i="7"/>
  <c r="L95" i="7"/>
  <c r="L103" i="7"/>
  <c r="L111" i="7"/>
  <c r="L119" i="7"/>
  <c r="L127" i="7"/>
  <c r="L135" i="7"/>
  <c r="L143" i="7"/>
  <c r="L151" i="7"/>
  <c r="L159" i="7"/>
  <c r="L167" i="7"/>
  <c r="L175" i="7"/>
  <c r="L183" i="7"/>
  <c r="L191" i="7"/>
  <c r="L199" i="7"/>
  <c r="L207" i="7"/>
  <c r="L215" i="7"/>
  <c r="L223" i="7"/>
  <c r="L231" i="7"/>
  <c r="L239" i="7"/>
  <c r="L247" i="7"/>
  <c r="L255" i="7"/>
  <c r="L263" i="7"/>
  <c r="L271" i="7"/>
  <c r="L279" i="7"/>
  <c r="L287" i="7"/>
  <c r="L295" i="7"/>
  <c r="L303" i="7"/>
  <c r="L311" i="7"/>
  <c r="L319" i="7"/>
  <c r="L327" i="7"/>
  <c r="L335" i="7"/>
  <c r="L343" i="7"/>
  <c r="L351" i="7"/>
  <c r="L359" i="7"/>
  <c r="L367" i="7"/>
  <c r="L375" i="7"/>
  <c r="L383" i="7"/>
  <c r="L391" i="7"/>
  <c r="L399" i="7"/>
  <c r="L407" i="7"/>
  <c r="L415" i="7"/>
  <c r="L423" i="7"/>
  <c r="L431" i="7"/>
  <c r="L439" i="7"/>
  <c r="L447" i="7"/>
  <c r="L455" i="7"/>
  <c r="L463" i="7"/>
  <c r="L471" i="7"/>
  <c r="L479" i="7"/>
  <c r="L487" i="7"/>
  <c r="L490" i="7"/>
  <c r="L179" i="7"/>
  <c r="L195" i="7"/>
  <c r="L243" i="7"/>
  <c r="L299" i="7"/>
  <c r="L363" i="7"/>
  <c r="L419" i="7"/>
  <c r="L475" i="7"/>
  <c r="L412" i="7"/>
  <c r="L460" i="7"/>
  <c r="L8" i="7"/>
  <c r="L16" i="7"/>
  <c r="L32" i="7"/>
  <c r="L40" i="7"/>
  <c r="L48" i="7"/>
  <c r="L56" i="7"/>
  <c r="L64" i="7"/>
  <c r="L72" i="7"/>
  <c r="L80" i="7"/>
  <c r="L88" i="7"/>
  <c r="L96" i="7"/>
  <c r="L104" i="7"/>
  <c r="L112" i="7"/>
  <c r="L120" i="7"/>
  <c r="L128" i="7"/>
  <c r="L136" i="7"/>
  <c r="L144" i="7"/>
  <c r="L152" i="7"/>
  <c r="L160" i="7"/>
  <c r="L168" i="7"/>
  <c r="L176" i="7"/>
  <c r="L184" i="7"/>
  <c r="L192" i="7"/>
  <c r="L200" i="7"/>
  <c r="L208" i="7"/>
  <c r="L216" i="7"/>
  <c r="L224" i="7"/>
  <c r="L232" i="7"/>
  <c r="L240" i="7"/>
  <c r="L248" i="7"/>
  <c r="L256" i="7"/>
  <c r="L264" i="7"/>
  <c r="L272" i="7"/>
  <c r="L280" i="7"/>
  <c r="L288" i="7"/>
  <c r="L296" i="7"/>
  <c r="L304" i="7"/>
  <c r="L312" i="7"/>
  <c r="L320" i="7"/>
  <c r="L328" i="7"/>
  <c r="L336" i="7"/>
  <c r="L344" i="7"/>
  <c r="L352" i="7"/>
  <c r="L360" i="7"/>
  <c r="L368" i="7"/>
  <c r="L376" i="7"/>
  <c r="L384" i="7"/>
  <c r="L392" i="7"/>
  <c r="L400" i="7"/>
  <c r="L408" i="7"/>
  <c r="L416" i="7"/>
  <c r="L424" i="7"/>
  <c r="L432" i="7"/>
  <c r="L440" i="7"/>
  <c r="L448" i="7"/>
  <c r="L456" i="7"/>
  <c r="L464" i="7"/>
  <c r="L472" i="7"/>
  <c r="L480" i="7"/>
  <c r="L488" i="7"/>
  <c r="L171" i="7"/>
  <c r="L251" i="7"/>
  <c r="L315" i="7"/>
  <c r="L371" i="7"/>
  <c r="L427" i="7"/>
  <c r="L483" i="7"/>
  <c r="L420" i="7"/>
  <c r="L468" i="7"/>
  <c r="L9" i="7"/>
  <c r="L17" i="7"/>
  <c r="L33" i="7"/>
  <c r="L41" i="7"/>
  <c r="L49" i="7"/>
  <c r="L57" i="7"/>
  <c r="L65" i="7"/>
  <c r="L73" i="7"/>
  <c r="L81" i="7"/>
  <c r="L89" i="7"/>
  <c r="L97" i="7"/>
  <c r="L105" i="7"/>
  <c r="L113" i="7"/>
  <c r="L121" i="7"/>
  <c r="L129" i="7"/>
  <c r="L137" i="7"/>
  <c r="L145" i="7"/>
  <c r="L153" i="7"/>
  <c r="L161" i="7"/>
  <c r="L169" i="7"/>
  <c r="L177" i="7"/>
  <c r="L185" i="7"/>
  <c r="L193" i="7"/>
  <c r="L201" i="7"/>
  <c r="L209" i="7"/>
  <c r="L217" i="7"/>
  <c r="L225" i="7"/>
  <c r="L233" i="7"/>
  <c r="L241" i="7"/>
  <c r="L249" i="7"/>
  <c r="L257" i="7"/>
  <c r="L265" i="7"/>
  <c r="L273" i="7"/>
  <c r="L281" i="7"/>
  <c r="L289" i="7"/>
  <c r="L297" i="7"/>
  <c r="L305" i="7"/>
  <c r="L313" i="7"/>
  <c r="L321" i="7"/>
  <c r="L329" i="7"/>
  <c r="L337" i="7"/>
  <c r="L345" i="7"/>
  <c r="L353" i="7"/>
  <c r="L361" i="7"/>
  <c r="L369" i="7"/>
  <c r="L377" i="7"/>
  <c r="L385" i="7"/>
  <c r="L393" i="7"/>
  <c r="L401" i="7"/>
  <c r="L409" i="7"/>
  <c r="L417" i="7"/>
  <c r="L425" i="7"/>
  <c r="L433" i="7"/>
  <c r="L441" i="7"/>
  <c r="L449" i="7"/>
  <c r="L457" i="7"/>
  <c r="L465" i="7"/>
  <c r="L473" i="7"/>
  <c r="L481" i="7"/>
  <c r="L489" i="7"/>
  <c r="L131" i="7"/>
  <c r="L227" i="7"/>
  <c r="L283" i="7"/>
  <c r="L339" i="7"/>
  <c r="L395" i="7"/>
  <c r="L451" i="7"/>
  <c r="L436" i="7"/>
  <c r="L484" i="7"/>
  <c r="L10" i="7"/>
  <c r="L18" i="7"/>
  <c r="L34" i="7"/>
  <c r="L42" i="7"/>
  <c r="L50" i="7"/>
  <c r="L58" i="7"/>
  <c r="L66" i="7"/>
  <c r="L74" i="7"/>
  <c r="L82" i="7"/>
  <c r="L90" i="7"/>
  <c r="L98" i="7"/>
  <c r="L106" i="7"/>
  <c r="L114" i="7"/>
  <c r="L122" i="7"/>
  <c r="L130" i="7"/>
  <c r="L138" i="7"/>
  <c r="L146" i="7"/>
  <c r="L154" i="7"/>
  <c r="L162" i="7"/>
  <c r="L170" i="7"/>
  <c r="L178" i="7"/>
  <c r="L186" i="7"/>
  <c r="L194" i="7"/>
  <c r="L202" i="7"/>
  <c r="L210" i="7"/>
  <c r="L218" i="7"/>
  <c r="L226" i="7"/>
  <c r="L234" i="7"/>
  <c r="L242" i="7"/>
  <c r="L250" i="7"/>
  <c r="L258" i="7"/>
  <c r="L266" i="7"/>
  <c r="L274" i="7"/>
  <c r="L282" i="7"/>
  <c r="L290" i="7"/>
  <c r="L298" i="7"/>
  <c r="L306" i="7"/>
  <c r="L314" i="7"/>
  <c r="L322" i="7"/>
  <c r="L330" i="7"/>
  <c r="L338" i="7"/>
  <c r="L346" i="7"/>
  <c r="L354" i="7"/>
  <c r="L362" i="7"/>
  <c r="L370" i="7"/>
  <c r="L378" i="7"/>
  <c r="L386" i="7"/>
  <c r="L394" i="7"/>
  <c r="L402" i="7"/>
  <c r="L410" i="7"/>
  <c r="L418" i="7"/>
  <c r="L426" i="7"/>
  <c r="L434" i="7"/>
  <c r="L442" i="7"/>
  <c r="L450" i="7"/>
  <c r="L458" i="7"/>
  <c r="L466" i="7"/>
  <c r="L474" i="7"/>
  <c r="L482" i="7"/>
  <c r="L155" i="7"/>
  <c r="L203" i="7"/>
  <c r="L259" i="7"/>
  <c r="L307" i="7"/>
  <c r="L355" i="7"/>
  <c r="L411" i="7"/>
  <c r="L467" i="7"/>
  <c r="L404" i="7"/>
  <c r="L476" i="7"/>
  <c r="L11" i="7"/>
  <c r="I19" i="12" s="1"/>
  <c r="L35" i="7"/>
  <c r="L43" i="7"/>
  <c r="L51" i="7"/>
  <c r="L59" i="7"/>
  <c r="L67" i="7"/>
  <c r="L75" i="7"/>
  <c r="L83" i="7"/>
  <c r="L91" i="7"/>
  <c r="L99" i="7"/>
  <c r="L107" i="7"/>
  <c r="L115" i="7"/>
  <c r="L123" i="7"/>
  <c r="L163" i="7"/>
  <c r="L187" i="7"/>
  <c r="L211" i="7"/>
  <c r="L267" i="7"/>
  <c r="L323" i="7"/>
  <c r="L379" i="7"/>
  <c r="L443" i="7"/>
  <c r="L428" i="7"/>
  <c r="L12" i="7"/>
  <c r="I20" i="12" s="1"/>
  <c r="L36" i="7"/>
  <c r="L44" i="7"/>
  <c r="L52" i="7"/>
  <c r="L60" i="7"/>
  <c r="L68" i="7"/>
  <c r="L76" i="7"/>
  <c r="L84" i="7"/>
  <c r="L92" i="7"/>
  <c r="L100" i="7"/>
  <c r="L108" i="7"/>
  <c r="L116" i="7"/>
  <c r="L124" i="7"/>
  <c r="L132" i="7"/>
  <c r="L140" i="7"/>
  <c r="L148" i="7"/>
  <c r="L156" i="7"/>
  <c r="L164" i="7"/>
  <c r="L172" i="7"/>
  <c r="L180" i="7"/>
  <c r="L188" i="7"/>
  <c r="L196" i="7"/>
  <c r="L204" i="7"/>
  <c r="L212" i="7"/>
  <c r="L220" i="7"/>
  <c r="L228" i="7"/>
  <c r="L236" i="7"/>
  <c r="L244" i="7"/>
  <c r="L252" i="7"/>
  <c r="L260" i="7"/>
  <c r="L268" i="7"/>
  <c r="L276" i="7"/>
  <c r="L284" i="7"/>
  <c r="L292" i="7"/>
  <c r="L300" i="7"/>
  <c r="L308" i="7"/>
  <c r="L316" i="7"/>
  <c r="L324" i="7"/>
  <c r="L332" i="7"/>
  <c r="L340" i="7"/>
  <c r="L348" i="7"/>
  <c r="L356" i="7"/>
  <c r="L364" i="7"/>
  <c r="L372" i="7"/>
  <c r="L380" i="7"/>
  <c r="L388" i="7"/>
  <c r="L5" i="7"/>
  <c r="L13" i="7"/>
  <c r="L37" i="7"/>
  <c r="L45" i="7"/>
  <c r="L53" i="7"/>
  <c r="L61" i="7"/>
  <c r="L69" i="7"/>
  <c r="L77" i="7"/>
  <c r="L85" i="7"/>
  <c r="L93" i="7"/>
  <c r="L101" i="7"/>
  <c r="L109" i="7"/>
  <c r="L117" i="7"/>
  <c r="L125" i="7"/>
  <c r="L133" i="7"/>
  <c r="L141" i="7"/>
  <c r="L149" i="7"/>
  <c r="L157" i="7"/>
  <c r="L165" i="7"/>
  <c r="L173" i="7"/>
  <c r="L181" i="7"/>
  <c r="L189" i="7"/>
  <c r="L197" i="7"/>
  <c r="L205" i="7"/>
  <c r="L213" i="7"/>
  <c r="L221" i="7"/>
  <c r="L229" i="7"/>
  <c r="L237" i="7"/>
  <c r="L245" i="7"/>
  <c r="L253" i="7"/>
  <c r="L261" i="7"/>
  <c r="L269" i="7"/>
  <c r="L277" i="7"/>
  <c r="L285" i="7"/>
  <c r="L293" i="7"/>
  <c r="L301" i="7"/>
  <c r="L309" i="7"/>
  <c r="L317" i="7"/>
  <c r="L325" i="7"/>
  <c r="L333" i="7"/>
  <c r="L341" i="7"/>
  <c r="L349" i="7"/>
  <c r="L357" i="7"/>
  <c r="L365" i="7"/>
  <c r="L373" i="7"/>
  <c r="L381" i="7"/>
  <c r="L389" i="7"/>
  <c r="L397" i="7"/>
  <c r="L405" i="7"/>
  <c r="L413" i="7"/>
  <c r="L421" i="7"/>
  <c r="L429" i="7"/>
  <c r="L437" i="7"/>
  <c r="L445" i="7"/>
  <c r="L453" i="7"/>
  <c r="L461" i="7"/>
  <c r="L469" i="7"/>
  <c r="L477" i="7"/>
  <c r="L485" i="7"/>
  <c r="L139" i="7"/>
  <c r="L235" i="7"/>
  <c r="L291" i="7"/>
  <c r="L347" i="7"/>
  <c r="L403" i="7"/>
  <c r="L459" i="7"/>
  <c r="L396" i="7"/>
  <c r="L452" i="7"/>
  <c r="M5" i="7"/>
  <c r="M13" i="7"/>
  <c r="N13" i="7" s="1"/>
  <c r="M21" i="7"/>
  <c r="M29" i="7"/>
  <c r="M37" i="7"/>
  <c r="M45" i="7"/>
  <c r="M53" i="7"/>
  <c r="M61" i="7"/>
  <c r="M69" i="7"/>
  <c r="M77" i="7"/>
  <c r="M85" i="7"/>
  <c r="M93" i="7"/>
  <c r="M101" i="7"/>
  <c r="M109" i="7"/>
  <c r="M117" i="7"/>
  <c r="M125" i="7"/>
  <c r="M133" i="7"/>
  <c r="M141" i="7"/>
  <c r="M149" i="7"/>
  <c r="M6" i="7"/>
  <c r="N6" i="7" s="1"/>
  <c r="M14" i="7"/>
  <c r="M22" i="7"/>
  <c r="M30" i="7"/>
  <c r="M38" i="7"/>
  <c r="M46" i="7"/>
  <c r="M54" i="7"/>
  <c r="M62" i="7"/>
  <c r="M70" i="7"/>
  <c r="M78" i="7"/>
  <c r="M86" i="7"/>
  <c r="M94" i="7"/>
  <c r="M102" i="7"/>
  <c r="M110" i="7"/>
  <c r="M118" i="7"/>
  <c r="M126" i="7"/>
  <c r="M134" i="7"/>
  <c r="M142" i="7"/>
  <c r="M150" i="7"/>
  <c r="M158" i="7"/>
  <c r="M166" i="7"/>
  <c r="M174" i="7"/>
  <c r="M182" i="7"/>
  <c r="M190" i="7"/>
  <c r="M198" i="7"/>
  <c r="M206" i="7"/>
  <c r="M214" i="7"/>
  <c r="M222" i="7"/>
  <c r="M230" i="7"/>
  <c r="M238" i="7"/>
  <c r="M246" i="7"/>
  <c r="M254" i="7"/>
  <c r="M262" i="7"/>
  <c r="M270" i="7"/>
  <c r="M278" i="7"/>
  <c r="M286" i="7"/>
  <c r="M294" i="7"/>
  <c r="M302" i="7"/>
  <c r="M310" i="7"/>
  <c r="M318" i="7"/>
  <c r="M326" i="7"/>
  <c r="M334" i="7"/>
  <c r="M342" i="7"/>
  <c r="M350" i="7"/>
  <c r="M358" i="7"/>
  <c r="M366" i="7"/>
  <c r="M374" i="7"/>
  <c r="M382" i="7"/>
  <c r="M390" i="7"/>
  <c r="M398" i="7"/>
  <c r="M406" i="7"/>
  <c r="M414" i="7"/>
  <c r="M422" i="7"/>
  <c r="M430" i="7"/>
  <c r="M438" i="7"/>
  <c r="M446" i="7"/>
  <c r="M454" i="7"/>
  <c r="M462" i="7"/>
  <c r="M470" i="7"/>
  <c r="M478" i="7"/>
  <c r="M486" i="7"/>
  <c r="K20" i="7"/>
  <c r="K28" i="7"/>
  <c r="K36" i="7"/>
  <c r="K44" i="7"/>
  <c r="N44" i="7" s="1"/>
  <c r="K52" i="7"/>
  <c r="N52" i="7" s="1"/>
  <c r="K60" i="7"/>
  <c r="N60" i="7" s="1"/>
  <c r="K68" i="7"/>
  <c r="N68" i="7" s="1"/>
  <c r="K76" i="7"/>
  <c r="N76" i="7" s="1"/>
  <c r="K84" i="7"/>
  <c r="N84" i="7" s="1"/>
  <c r="K92" i="7"/>
  <c r="N92" i="7" s="1"/>
  <c r="K100" i="7"/>
  <c r="N100" i="7" s="1"/>
  <c r="K108" i="7"/>
  <c r="N108" i="7" s="1"/>
  <c r="K116" i="7"/>
  <c r="N116" i="7" s="1"/>
  <c r="K124" i="7"/>
  <c r="N124" i="7" s="1"/>
  <c r="M7" i="7"/>
  <c r="N7" i="7" s="1"/>
  <c r="M15" i="7"/>
  <c r="M23" i="7"/>
  <c r="M31" i="7"/>
  <c r="M39" i="7"/>
  <c r="M47" i="7"/>
  <c r="M55" i="7"/>
  <c r="M63" i="7"/>
  <c r="M71" i="7"/>
  <c r="M79" i="7"/>
  <c r="M87" i="7"/>
  <c r="M95" i="7"/>
  <c r="M103" i="7"/>
  <c r="M111" i="7"/>
  <c r="M119" i="7"/>
  <c r="M127" i="7"/>
  <c r="M135" i="7"/>
  <c r="M143" i="7"/>
  <c r="M151" i="7"/>
  <c r="M159" i="7"/>
  <c r="M167" i="7"/>
  <c r="M175" i="7"/>
  <c r="M183" i="7"/>
  <c r="M191" i="7"/>
  <c r="M199" i="7"/>
  <c r="M207" i="7"/>
  <c r="M215" i="7"/>
  <c r="M223" i="7"/>
  <c r="M231" i="7"/>
  <c r="M239" i="7"/>
  <c r="M247" i="7"/>
  <c r="M255" i="7"/>
  <c r="M263" i="7"/>
  <c r="M271" i="7"/>
  <c r="M279" i="7"/>
  <c r="M287" i="7"/>
  <c r="M295" i="7"/>
  <c r="M303" i="7"/>
  <c r="M311" i="7"/>
  <c r="M319" i="7"/>
  <c r="M327" i="7"/>
  <c r="M335" i="7"/>
  <c r="M343" i="7"/>
  <c r="M351" i="7"/>
  <c r="M359" i="7"/>
  <c r="M367" i="7"/>
  <c r="M375" i="7"/>
  <c r="M383" i="7"/>
  <c r="M391" i="7"/>
  <c r="M399" i="7"/>
  <c r="M407" i="7"/>
  <c r="M415" i="7"/>
  <c r="M423" i="7"/>
  <c r="M431" i="7"/>
  <c r="M439" i="7"/>
  <c r="M447" i="7"/>
  <c r="M455" i="7"/>
  <c r="M463" i="7"/>
  <c r="M471" i="7"/>
  <c r="M479" i="7"/>
  <c r="M487" i="7"/>
  <c r="K21" i="7"/>
  <c r="N21" i="7" s="1"/>
  <c r="K29" i="7"/>
  <c r="N29" i="7" s="1"/>
  <c r="K37" i="7"/>
  <c r="N37" i="7" s="1"/>
  <c r="K45" i="7"/>
  <c r="N45" i="7" s="1"/>
  <c r="K53" i="7"/>
  <c r="N53" i="7" s="1"/>
  <c r="K61" i="7"/>
  <c r="N61" i="7" s="1"/>
  <c r="K69" i="7"/>
  <c r="N69" i="7" s="1"/>
  <c r="K77" i="7"/>
  <c r="N77" i="7" s="1"/>
  <c r="K85" i="7"/>
  <c r="N85" i="7" s="1"/>
  <c r="K93" i="7"/>
  <c r="N93" i="7" s="1"/>
  <c r="K101" i="7"/>
  <c r="N101" i="7" s="1"/>
  <c r="K109" i="7"/>
  <c r="N109" i="7" s="1"/>
  <c r="K117" i="7"/>
  <c r="N117" i="7" s="1"/>
  <c r="M8" i="7"/>
  <c r="N8" i="7" s="1"/>
  <c r="M16" i="7"/>
  <c r="N16" i="7" s="1"/>
  <c r="M24" i="7"/>
  <c r="M32" i="7"/>
  <c r="M40" i="7"/>
  <c r="M48" i="7"/>
  <c r="M56" i="7"/>
  <c r="M64" i="7"/>
  <c r="M72" i="7"/>
  <c r="M80" i="7"/>
  <c r="M88" i="7"/>
  <c r="M96" i="7"/>
  <c r="M104" i="7"/>
  <c r="M112" i="7"/>
  <c r="M120" i="7"/>
  <c r="M128" i="7"/>
  <c r="M136" i="7"/>
  <c r="M144" i="7"/>
  <c r="M152" i="7"/>
  <c r="M160" i="7"/>
  <c r="M168" i="7"/>
  <c r="M176" i="7"/>
  <c r="M184" i="7"/>
  <c r="M192" i="7"/>
  <c r="M200" i="7"/>
  <c r="M208" i="7"/>
  <c r="M216" i="7"/>
  <c r="M224" i="7"/>
  <c r="M232" i="7"/>
  <c r="M240" i="7"/>
  <c r="M248" i="7"/>
  <c r="M256" i="7"/>
  <c r="M264" i="7"/>
  <c r="M272" i="7"/>
  <c r="M280" i="7"/>
  <c r="M288" i="7"/>
  <c r="M296" i="7"/>
  <c r="M304" i="7"/>
  <c r="M312" i="7"/>
  <c r="M320" i="7"/>
  <c r="M328" i="7"/>
  <c r="M336" i="7"/>
  <c r="M344" i="7"/>
  <c r="M352" i="7"/>
  <c r="M360" i="7"/>
  <c r="M368" i="7"/>
  <c r="M376" i="7"/>
  <c r="M384" i="7"/>
  <c r="M392" i="7"/>
  <c r="M400" i="7"/>
  <c r="M408" i="7"/>
  <c r="M416" i="7"/>
  <c r="M424" i="7"/>
  <c r="M432" i="7"/>
  <c r="M440" i="7"/>
  <c r="M448" i="7"/>
  <c r="M456" i="7"/>
  <c r="M464" i="7"/>
  <c r="M472" i="7"/>
  <c r="M480" i="7"/>
  <c r="M488" i="7"/>
  <c r="K22" i="7"/>
  <c r="N22" i="7" s="1"/>
  <c r="K30" i="7"/>
  <c r="N30" i="7" s="1"/>
  <c r="K38" i="7"/>
  <c r="K46" i="7"/>
  <c r="N46" i="7" s="1"/>
  <c r="K54" i="7"/>
  <c r="N54" i="7" s="1"/>
  <c r="K62" i="7"/>
  <c r="N62" i="7" s="1"/>
  <c r="K70" i="7"/>
  <c r="N70" i="7" s="1"/>
  <c r="K78" i="7"/>
  <c r="N78" i="7" s="1"/>
  <c r="M9" i="7"/>
  <c r="N9" i="7" s="1"/>
  <c r="M17" i="7"/>
  <c r="M25" i="7"/>
  <c r="M33" i="7"/>
  <c r="M41" i="7"/>
  <c r="M49" i="7"/>
  <c r="M57" i="7"/>
  <c r="M65" i="7"/>
  <c r="M73" i="7"/>
  <c r="M81" i="7"/>
  <c r="M89" i="7"/>
  <c r="M97" i="7"/>
  <c r="M105" i="7"/>
  <c r="M113" i="7"/>
  <c r="M121" i="7"/>
  <c r="M129" i="7"/>
  <c r="M137" i="7"/>
  <c r="M145" i="7"/>
  <c r="M153" i="7"/>
  <c r="M161" i="7"/>
  <c r="M169" i="7"/>
  <c r="M177" i="7"/>
  <c r="M185" i="7"/>
  <c r="M193" i="7"/>
  <c r="M201" i="7"/>
  <c r="M209" i="7"/>
  <c r="M217" i="7"/>
  <c r="M225" i="7"/>
  <c r="M233" i="7"/>
  <c r="M241" i="7"/>
  <c r="M249" i="7"/>
  <c r="M257" i="7"/>
  <c r="M265" i="7"/>
  <c r="M273" i="7"/>
  <c r="M281" i="7"/>
  <c r="M289" i="7"/>
  <c r="M297" i="7"/>
  <c r="M305" i="7"/>
  <c r="M313" i="7"/>
  <c r="M321" i="7"/>
  <c r="M329" i="7"/>
  <c r="M337" i="7"/>
  <c r="M345" i="7"/>
  <c r="M353" i="7"/>
  <c r="M361" i="7"/>
  <c r="M369" i="7"/>
  <c r="M377" i="7"/>
  <c r="M385" i="7"/>
  <c r="M393" i="7"/>
  <c r="M401" i="7"/>
  <c r="M409" i="7"/>
  <c r="M417" i="7"/>
  <c r="M425" i="7"/>
  <c r="M433" i="7"/>
  <c r="M441" i="7"/>
  <c r="M449" i="7"/>
  <c r="M457" i="7"/>
  <c r="M465" i="7"/>
  <c r="M473" i="7"/>
  <c r="M481" i="7"/>
  <c r="M489" i="7"/>
  <c r="K23" i="7"/>
  <c r="N23" i="7" s="1"/>
  <c r="K31" i="7"/>
  <c r="N31" i="7" s="1"/>
  <c r="K39" i="7"/>
  <c r="N39" i="7" s="1"/>
  <c r="K47" i="7"/>
  <c r="N47" i="7" s="1"/>
  <c r="K55" i="7"/>
  <c r="N55" i="7" s="1"/>
  <c r="K63" i="7"/>
  <c r="N63" i="7" s="1"/>
  <c r="K71" i="7"/>
  <c r="N71" i="7" s="1"/>
  <c r="K79" i="7"/>
  <c r="N79" i="7" s="1"/>
  <c r="K87" i="7"/>
  <c r="N87" i="7" s="1"/>
  <c r="K95" i="7"/>
  <c r="N95" i="7" s="1"/>
  <c r="K103" i="7"/>
  <c r="N103" i="7" s="1"/>
  <c r="K111" i="7"/>
  <c r="N111" i="7" s="1"/>
  <c r="K119" i="7"/>
  <c r="N119" i="7" s="1"/>
  <c r="K127" i="7"/>
  <c r="N127" i="7" s="1"/>
  <c r="K135" i="7"/>
  <c r="N135" i="7" s="1"/>
  <c r="K143" i="7"/>
  <c r="N143" i="7" s="1"/>
  <c r="K151" i="7"/>
  <c r="N151" i="7" s="1"/>
  <c r="K159" i="7"/>
  <c r="N159" i="7" s="1"/>
  <c r="M10" i="7"/>
  <c r="N10" i="7" s="1"/>
  <c r="M18" i="7"/>
  <c r="M26" i="7"/>
  <c r="M34" i="7"/>
  <c r="M42" i="7"/>
  <c r="M50" i="7"/>
  <c r="M58" i="7"/>
  <c r="M66" i="7"/>
  <c r="M74" i="7"/>
  <c r="M82" i="7"/>
  <c r="M90" i="7"/>
  <c r="M98" i="7"/>
  <c r="M106" i="7"/>
  <c r="M114" i="7"/>
  <c r="M122" i="7"/>
  <c r="M130" i="7"/>
  <c r="M138" i="7"/>
  <c r="M146" i="7"/>
  <c r="M154" i="7"/>
  <c r="M162" i="7"/>
  <c r="M170" i="7"/>
  <c r="M178" i="7"/>
  <c r="M186" i="7"/>
  <c r="M194" i="7"/>
  <c r="M202" i="7"/>
  <c r="M210" i="7"/>
  <c r="M218" i="7"/>
  <c r="M226" i="7"/>
  <c r="M234" i="7"/>
  <c r="M242" i="7"/>
  <c r="M250" i="7"/>
  <c r="M258" i="7"/>
  <c r="M266" i="7"/>
  <c r="M274" i="7"/>
  <c r="M282" i="7"/>
  <c r="M290" i="7"/>
  <c r="M298" i="7"/>
  <c r="M306" i="7"/>
  <c r="M314" i="7"/>
  <c r="M322" i="7"/>
  <c r="M330" i="7"/>
  <c r="M338" i="7"/>
  <c r="M346" i="7"/>
  <c r="M354" i="7"/>
  <c r="M362" i="7"/>
  <c r="M370" i="7"/>
  <c r="M378" i="7"/>
  <c r="M386" i="7"/>
  <c r="M394" i="7"/>
  <c r="M402" i="7"/>
  <c r="M410" i="7"/>
  <c r="M418" i="7"/>
  <c r="M426" i="7"/>
  <c r="M434" i="7"/>
  <c r="M442" i="7"/>
  <c r="M450" i="7"/>
  <c r="M458" i="7"/>
  <c r="M466" i="7"/>
  <c r="M474" i="7"/>
  <c r="M482" i="7"/>
  <c r="M490" i="7"/>
  <c r="K24" i="7"/>
  <c r="N24" i="7" s="1"/>
  <c r="K32" i="7"/>
  <c r="N32" i="7" s="1"/>
  <c r="K40" i="7"/>
  <c r="N40" i="7" s="1"/>
  <c r="K48" i="7"/>
  <c r="N48" i="7" s="1"/>
  <c r="K56" i="7"/>
  <c r="N56" i="7" s="1"/>
  <c r="K64" i="7"/>
  <c r="N64" i="7" s="1"/>
  <c r="K72" i="7"/>
  <c r="N72" i="7" s="1"/>
  <c r="K80" i="7"/>
  <c r="N80" i="7" s="1"/>
  <c r="K88" i="7"/>
  <c r="N88" i="7" s="1"/>
  <c r="K96" i="7"/>
  <c r="N96" i="7" s="1"/>
  <c r="K104" i="7"/>
  <c r="N104" i="7" s="1"/>
  <c r="K112" i="7"/>
  <c r="N112" i="7" s="1"/>
  <c r="K120" i="7"/>
  <c r="N120" i="7" s="1"/>
  <c r="K128" i="7"/>
  <c r="N128" i="7" s="1"/>
  <c r="K136" i="7"/>
  <c r="N136" i="7" s="1"/>
  <c r="K144" i="7"/>
  <c r="N144" i="7" s="1"/>
  <c r="K152" i="7"/>
  <c r="N152" i="7" s="1"/>
  <c r="K160" i="7"/>
  <c r="N160" i="7" s="1"/>
  <c r="K168" i="7"/>
  <c r="N168" i="7" s="1"/>
  <c r="K176" i="7"/>
  <c r="N176" i="7" s="1"/>
  <c r="K184" i="7"/>
  <c r="N184" i="7" s="1"/>
  <c r="K192" i="7"/>
  <c r="N192" i="7" s="1"/>
  <c r="K200" i="7"/>
  <c r="N200" i="7" s="1"/>
  <c r="M11" i="7"/>
  <c r="M43" i="7"/>
  <c r="M75" i="7"/>
  <c r="M107" i="7"/>
  <c r="M139" i="7"/>
  <c r="M164" i="7"/>
  <c r="M187" i="7"/>
  <c r="M205" i="7"/>
  <c r="M228" i="7"/>
  <c r="M251" i="7"/>
  <c r="M269" i="7"/>
  <c r="M292" i="7"/>
  <c r="M315" i="7"/>
  <c r="M333" i="7"/>
  <c r="M356" i="7"/>
  <c r="M379" i="7"/>
  <c r="M397" i="7"/>
  <c r="M420" i="7"/>
  <c r="M443" i="7"/>
  <c r="M461" i="7"/>
  <c r="M484" i="7"/>
  <c r="K25" i="7"/>
  <c r="N25" i="7" s="1"/>
  <c r="K43" i="7"/>
  <c r="N43" i="7" s="1"/>
  <c r="K66" i="7"/>
  <c r="N66" i="7" s="1"/>
  <c r="K86" i="7"/>
  <c r="N86" i="7" s="1"/>
  <c r="K102" i="7"/>
  <c r="N102" i="7" s="1"/>
  <c r="K118" i="7"/>
  <c r="N118" i="7" s="1"/>
  <c r="K131" i="7"/>
  <c r="N131" i="7" s="1"/>
  <c r="K141" i="7"/>
  <c r="N141" i="7" s="1"/>
  <c r="K153" i="7"/>
  <c r="N153" i="7" s="1"/>
  <c r="M12" i="7"/>
  <c r="M44" i="7"/>
  <c r="M76" i="7"/>
  <c r="M108" i="7"/>
  <c r="M140" i="7"/>
  <c r="M165" i="7"/>
  <c r="M188" i="7"/>
  <c r="M211" i="7"/>
  <c r="M229" i="7"/>
  <c r="M252" i="7"/>
  <c r="M275" i="7"/>
  <c r="M293" i="7"/>
  <c r="M316" i="7"/>
  <c r="M339" i="7"/>
  <c r="M357" i="7"/>
  <c r="M380" i="7"/>
  <c r="M403" i="7"/>
  <c r="M421" i="7"/>
  <c r="M444" i="7"/>
  <c r="M467" i="7"/>
  <c r="M485" i="7"/>
  <c r="K26" i="7"/>
  <c r="N26" i="7" s="1"/>
  <c r="K49" i="7"/>
  <c r="N49" i="7" s="1"/>
  <c r="K67" i="7"/>
  <c r="N67" i="7" s="1"/>
  <c r="K89" i="7"/>
  <c r="N89" i="7" s="1"/>
  <c r="K105" i="7"/>
  <c r="N105" i="7" s="1"/>
  <c r="K121" i="7"/>
  <c r="N121" i="7" s="1"/>
  <c r="K132" i="7"/>
  <c r="N132" i="7" s="1"/>
  <c r="K142" i="7"/>
  <c r="N142" i="7" s="1"/>
  <c r="K154" i="7"/>
  <c r="N154" i="7" s="1"/>
  <c r="K164" i="7"/>
  <c r="N164" i="7" s="1"/>
  <c r="K173" i="7"/>
  <c r="N173" i="7" s="1"/>
  <c r="K182" i="7"/>
  <c r="N182" i="7" s="1"/>
  <c r="K191" i="7"/>
  <c r="N191" i="7" s="1"/>
  <c r="K201" i="7"/>
  <c r="N201" i="7" s="1"/>
  <c r="K209" i="7"/>
  <c r="N209" i="7" s="1"/>
  <c r="K217" i="7"/>
  <c r="N217" i="7" s="1"/>
  <c r="K225" i="7"/>
  <c r="N225" i="7" s="1"/>
  <c r="K233" i="7"/>
  <c r="N233" i="7" s="1"/>
  <c r="K241" i="7"/>
  <c r="N241" i="7" s="1"/>
  <c r="K249" i="7"/>
  <c r="N249" i="7" s="1"/>
  <c r="K257" i="7"/>
  <c r="N257" i="7" s="1"/>
  <c r="K265" i="7"/>
  <c r="N265" i="7" s="1"/>
  <c r="K273" i="7"/>
  <c r="N273" i="7" s="1"/>
  <c r="K281" i="7"/>
  <c r="N281" i="7" s="1"/>
  <c r="K289" i="7"/>
  <c r="N289" i="7" s="1"/>
  <c r="K297" i="7"/>
  <c r="N297" i="7" s="1"/>
  <c r="K305" i="7"/>
  <c r="N305" i="7" s="1"/>
  <c r="K313" i="7"/>
  <c r="N313" i="7" s="1"/>
  <c r="K321" i="7"/>
  <c r="N321" i="7" s="1"/>
  <c r="K329" i="7"/>
  <c r="N329" i="7" s="1"/>
  <c r="K337" i="7"/>
  <c r="N337" i="7" s="1"/>
  <c r="K345" i="7"/>
  <c r="N345" i="7" s="1"/>
  <c r="K353" i="7"/>
  <c r="N353" i="7" s="1"/>
  <c r="K361" i="7"/>
  <c r="N361" i="7" s="1"/>
  <c r="K369" i="7"/>
  <c r="N369" i="7" s="1"/>
  <c r="K377" i="7"/>
  <c r="N377" i="7" s="1"/>
  <c r="K385" i="7"/>
  <c r="N385" i="7" s="1"/>
  <c r="K393" i="7"/>
  <c r="N393" i="7" s="1"/>
  <c r="K401" i="7"/>
  <c r="N401" i="7" s="1"/>
  <c r="K409" i="7"/>
  <c r="N409" i="7" s="1"/>
  <c r="K417" i="7"/>
  <c r="N417" i="7" s="1"/>
  <c r="K425" i="7"/>
  <c r="N425" i="7" s="1"/>
  <c r="K433" i="7"/>
  <c r="N433" i="7" s="1"/>
  <c r="K441" i="7"/>
  <c r="N441" i="7" s="1"/>
  <c r="K449" i="7"/>
  <c r="N449" i="7" s="1"/>
  <c r="K457" i="7"/>
  <c r="N457" i="7" s="1"/>
  <c r="K465" i="7"/>
  <c r="N465" i="7" s="1"/>
  <c r="K473" i="7"/>
  <c r="N473" i="7" s="1"/>
  <c r="K481" i="7"/>
  <c r="N481" i="7" s="1"/>
  <c r="K489" i="7"/>
  <c r="N489" i="7" s="1"/>
  <c r="J19" i="7"/>
  <c r="J27" i="7"/>
  <c r="J35" i="7"/>
  <c r="J43" i="7"/>
  <c r="J51" i="7"/>
  <c r="J59" i="7"/>
  <c r="J67" i="7"/>
  <c r="J75" i="7"/>
  <c r="M19" i="7"/>
  <c r="M51" i="7"/>
  <c r="M83" i="7"/>
  <c r="M115" i="7"/>
  <c r="M147" i="7"/>
  <c r="M171" i="7"/>
  <c r="M189" i="7"/>
  <c r="M212" i="7"/>
  <c r="M235" i="7"/>
  <c r="M253" i="7"/>
  <c r="M276" i="7"/>
  <c r="M299" i="7"/>
  <c r="M317" i="7"/>
  <c r="M340" i="7"/>
  <c r="M363" i="7"/>
  <c r="M381" i="7"/>
  <c r="M404" i="7"/>
  <c r="M427" i="7"/>
  <c r="M445" i="7"/>
  <c r="M468" i="7"/>
  <c r="M4" i="7"/>
  <c r="K27" i="7"/>
  <c r="N27" i="7" s="1"/>
  <c r="K50" i="7"/>
  <c r="N50" i="7" s="1"/>
  <c r="K73" i="7"/>
  <c r="N73" i="7" s="1"/>
  <c r="K90" i="7"/>
  <c r="N90" i="7" s="1"/>
  <c r="K106" i="7"/>
  <c r="N106" i="7" s="1"/>
  <c r="K122" i="7"/>
  <c r="N122" i="7" s="1"/>
  <c r="K133" i="7"/>
  <c r="N133" i="7" s="1"/>
  <c r="K145" i="7"/>
  <c r="N145" i="7" s="1"/>
  <c r="K155" i="7"/>
  <c r="N155" i="7" s="1"/>
  <c r="K165" i="7"/>
  <c r="N165" i="7" s="1"/>
  <c r="K174" i="7"/>
  <c r="N174" i="7" s="1"/>
  <c r="K183" i="7"/>
  <c r="N183" i="7" s="1"/>
  <c r="K193" i="7"/>
  <c r="N193" i="7" s="1"/>
  <c r="K202" i="7"/>
  <c r="N202" i="7" s="1"/>
  <c r="K210" i="7"/>
  <c r="N210" i="7" s="1"/>
  <c r="K218" i="7"/>
  <c r="N218" i="7" s="1"/>
  <c r="K226" i="7"/>
  <c r="N226" i="7" s="1"/>
  <c r="K234" i="7"/>
  <c r="N234" i="7" s="1"/>
  <c r="K242" i="7"/>
  <c r="N242" i="7" s="1"/>
  <c r="K250" i="7"/>
  <c r="N250" i="7" s="1"/>
  <c r="K258" i="7"/>
  <c r="N258" i="7" s="1"/>
  <c r="K266" i="7"/>
  <c r="N266" i="7" s="1"/>
  <c r="K274" i="7"/>
  <c r="N274" i="7" s="1"/>
  <c r="K282" i="7"/>
  <c r="N282" i="7" s="1"/>
  <c r="K290" i="7"/>
  <c r="N290" i="7" s="1"/>
  <c r="K298" i="7"/>
  <c r="N298" i="7" s="1"/>
  <c r="K306" i="7"/>
  <c r="N306" i="7" s="1"/>
  <c r="K314" i="7"/>
  <c r="N314" i="7" s="1"/>
  <c r="K322" i="7"/>
  <c r="N322" i="7" s="1"/>
  <c r="K330" i="7"/>
  <c r="N330" i="7" s="1"/>
  <c r="K338" i="7"/>
  <c r="N338" i="7" s="1"/>
  <c r="K346" i="7"/>
  <c r="N346" i="7" s="1"/>
  <c r="K354" i="7"/>
  <c r="N354" i="7" s="1"/>
  <c r="K362" i="7"/>
  <c r="N362" i="7" s="1"/>
  <c r="K370" i="7"/>
  <c r="N370" i="7" s="1"/>
  <c r="K378" i="7"/>
  <c r="N378" i="7" s="1"/>
  <c r="K386" i="7"/>
  <c r="N386" i="7" s="1"/>
  <c r="K394" i="7"/>
  <c r="N394" i="7" s="1"/>
  <c r="K402" i="7"/>
  <c r="N402" i="7" s="1"/>
  <c r="K410" i="7"/>
  <c r="N410" i="7" s="1"/>
  <c r="K418" i="7"/>
  <c r="N418" i="7" s="1"/>
  <c r="K426" i="7"/>
  <c r="N426" i="7" s="1"/>
  <c r="K434" i="7"/>
  <c r="N434" i="7" s="1"/>
  <c r="K442" i="7"/>
  <c r="N442" i="7" s="1"/>
  <c r="K450" i="7"/>
  <c r="N450" i="7" s="1"/>
  <c r="K458" i="7"/>
  <c r="N458" i="7" s="1"/>
  <c r="K466" i="7"/>
  <c r="N466" i="7" s="1"/>
  <c r="K474" i="7"/>
  <c r="N474" i="7" s="1"/>
  <c r="K482" i="7"/>
  <c r="N482" i="7" s="1"/>
  <c r="K490" i="7"/>
  <c r="N490" i="7" s="1"/>
  <c r="J20" i="7"/>
  <c r="J28" i="7"/>
  <c r="J36" i="7"/>
  <c r="J44" i="7"/>
  <c r="J52" i="7"/>
  <c r="J60" i="7"/>
  <c r="J68" i="7"/>
  <c r="J76" i="7"/>
  <c r="J84" i="7"/>
  <c r="J92" i="7"/>
  <c r="J100" i="7"/>
  <c r="J108" i="7"/>
  <c r="J116" i="7"/>
  <c r="M20" i="7"/>
  <c r="M52" i="7"/>
  <c r="M84" i="7"/>
  <c r="M116" i="7"/>
  <c r="M148" i="7"/>
  <c r="M172" i="7"/>
  <c r="M195" i="7"/>
  <c r="M213" i="7"/>
  <c r="M236" i="7"/>
  <c r="M259" i="7"/>
  <c r="M277" i="7"/>
  <c r="M300" i="7"/>
  <c r="M323" i="7"/>
  <c r="M341" i="7"/>
  <c r="M364" i="7"/>
  <c r="M387" i="7"/>
  <c r="M405" i="7"/>
  <c r="M428" i="7"/>
  <c r="M451" i="7"/>
  <c r="M469" i="7"/>
  <c r="K33" i="7"/>
  <c r="N33" i="7" s="1"/>
  <c r="K51" i="7"/>
  <c r="N51" i="7" s="1"/>
  <c r="K74" i="7"/>
  <c r="N74" i="7" s="1"/>
  <c r="K91" i="7"/>
  <c r="N91" i="7" s="1"/>
  <c r="K107" i="7"/>
  <c r="N107" i="7" s="1"/>
  <c r="K123" i="7"/>
  <c r="N123" i="7" s="1"/>
  <c r="K134" i="7"/>
  <c r="N134" i="7" s="1"/>
  <c r="K146" i="7"/>
  <c r="N146" i="7" s="1"/>
  <c r="K156" i="7"/>
  <c r="N156" i="7" s="1"/>
  <c r="K166" i="7"/>
  <c r="N166" i="7" s="1"/>
  <c r="K175" i="7"/>
  <c r="N175" i="7" s="1"/>
  <c r="K185" i="7"/>
  <c r="N185" i="7" s="1"/>
  <c r="K194" i="7"/>
  <c r="N194" i="7" s="1"/>
  <c r="K203" i="7"/>
  <c r="N203" i="7" s="1"/>
  <c r="K211" i="7"/>
  <c r="N211" i="7" s="1"/>
  <c r="K219" i="7"/>
  <c r="N219" i="7" s="1"/>
  <c r="K227" i="7"/>
  <c r="N227" i="7" s="1"/>
  <c r="K235" i="7"/>
  <c r="N235" i="7" s="1"/>
  <c r="K243" i="7"/>
  <c r="N243" i="7" s="1"/>
  <c r="K251" i="7"/>
  <c r="N251" i="7" s="1"/>
  <c r="K259" i="7"/>
  <c r="N259" i="7" s="1"/>
  <c r="K267" i="7"/>
  <c r="N267" i="7" s="1"/>
  <c r="K275" i="7"/>
  <c r="N275" i="7" s="1"/>
  <c r="K283" i="7"/>
  <c r="N283" i="7" s="1"/>
  <c r="K291" i="7"/>
  <c r="N291" i="7" s="1"/>
  <c r="K299" i="7"/>
  <c r="N299" i="7" s="1"/>
  <c r="K307" i="7"/>
  <c r="N307" i="7" s="1"/>
  <c r="K315" i="7"/>
  <c r="N315" i="7" s="1"/>
  <c r="K323" i="7"/>
  <c r="N323" i="7" s="1"/>
  <c r="K331" i="7"/>
  <c r="N331" i="7" s="1"/>
  <c r="K339" i="7"/>
  <c r="N339" i="7" s="1"/>
  <c r="K347" i="7"/>
  <c r="N347" i="7" s="1"/>
  <c r="K355" i="7"/>
  <c r="N355" i="7" s="1"/>
  <c r="K363" i="7"/>
  <c r="N363" i="7" s="1"/>
  <c r="K371" i="7"/>
  <c r="N371" i="7" s="1"/>
  <c r="K379" i="7"/>
  <c r="N379" i="7" s="1"/>
  <c r="K387" i="7"/>
  <c r="N387" i="7" s="1"/>
  <c r="K395" i="7"/>
  <c r="N395" i="7" s="1"/>
  <c r="K403" i="7"/>
  <c r="N403" i="7" s="1"/>
  <c r="K411" i="7"/>
  <c r="N411" i="7" s="1"/>
  <c r="K419" i="7"/>
  <c r="N419" i="7" s="1"/>
  <c r="K427" i="7"/>
  <c r="N427" i="7" s="1"/>
  <c r="K435" i="7"/>
  <c r="N435" i="7" s="1"/>
  <c r="K443" i="7"/>
  <c r="N443" i="7" s="1"/>
  <c r="K451" i="7"/>
  <c r="N451" i="7" s="1"/>
  <c r="K459" i="7"/>
  <c r="N459" i="7" s="1"/>
  <c r="K467" i="7"/>
  <c r="N467" i="7" s="1"/>
  <c r="K475" i="7"/>
  <c r="N475" i="7" s="1"/>
  <c r="K483" i="7"/>
  <c r="N483" i="7" s="1"/>
  <c r="J13" i="7"/>
  <c r="J21" i="7"/>
  <c r="J29" i="7"/>
  <c r="J37" i="7"/>
  <c r="J45" i="7"/>
  <c r="J53" i="7"/>
  <c r="J61" i="7"/>
  <c r="J69" i="7"/>
  <c r="M27" i="7"/>
  <c r="M59" i="7"/>
  <c r="M91" i="7"/>
  <c r="M123" i="7"/>
  <c r="M155" i="7"/>
  <c r="M173" i="7"/>
  <c r="M196" i="7"/>
  <c r="M219" i="7"/>
  <c r="M237" i="7"/>
  <c r="M260" i="7"/>
  <c r="M283" i="7"/>
  <c r="M301" i="7"/>
  <c r="M324" i="7"/>
  <c r="M347" i="7"/>
  <c r="M365" i="7"/>
  <c r="M388" i="7"/>
  <c r="M411" i="7"/>
  <c r="M429" i="7"/>
  <c r="M452" i="7"/>
  <c r="M475" i="7"/>
  <c r="K34" i="7"/>
  <c r="N34" i="7" s="1"/>
  <c r="K57" i="7"/>
  <c r="N57" i="7" s="1"/>
  <c r="K75" i="7"/>
  <c r="N75" i="7" s="1"/>
  <c r="K94" i="7"/>
  <c r="N94" i="7" s="1"/>
  <c r="K110" i="7"/>
  <c r="N110" i="7" s="1"/>
  <c r="K125" i="7"/>
  <c r="N125" i="7" s="1"/>
  <c r="K137" i="7"/>
  <c r="N137" i="7" s="1"/>
  <c r="K147" i="7"/>
  <c r="N147" i="7" s="1"/>
  <c r="K157" i="7"/>
  <c r="N157" i="7" s="1"/>
  <c r="K167" i="7"/>
  <c r="N167" i="7" s="1"/>
  <c r="K177" i="7"/>
  <c r="N177" i="7" s="1"/>
  <c r="K186" i="7"/>
  <c r="N186" i="7" s="1"/>
  <c r="K195" i="7"/>
  <c r="N195" i="7" s="1"/>
  <c r="K204" i="7"/>
  <c r="N204" i="7" s="1"/>
  <c r="K212" i="7"/>
  <c r="N212" i="7" s="1"/>
  <c r="K220" i="7"/>
  <c r="N220" i="7" s="1"/>
  <c r="K228" i="7"/>
  <c r="N228" i="7" s="1"/>
  <c r="K236" i="7"/>
  <c r="N236" i="7" s="1"/>
  <c r="K244" i="7"/>
  <c r="N244" i="7" s="1"/>
  <c r="K252" i="7"/>
  <c r="N252" i="7" s="1"/>
  <c r="K260" i="7"/>
  <c r="N260" i="7" s="1"/>
  <c r="K268" i="7"/>
  <c r="N268" i="7" s="1"/>
  <c r="K276" i="7"/>
  <c r="N276" i="7" s="1"/>
  <c r="K284" i="7"/>
  <c r="N284" i="7" s="1"/>
  <c r="K292" i="7"/>
  <c r="N292" i="7" s="1"/>
  <c r="K300" i="7"/>
  <c r="N300" i="7" s="1"/>
  <c r="K308" i="7"/>
  <c r="N308" i="7" s="1"/>
  <c r="K316" i="7"/>
  <c r="N316" i="7" s="1"/>
  <c r="K324" i="7"/>
  <c r="N324" i="7" s="1"/>
  <c r="K332" i="7"/>
  <c r="N332" i="7" s="1"/>
  <c r="K340" i="7"/>
  <c r="N340" i="7" s="1"/>
  <c r="K348" i="7"/>
  <c r="N348" i="7" s="1"/>
  <c r="K356" i="7"/>
  <c r="N356" i="7" s="1"/>
  <c r="K364" i="7"/>
  <c r="N364" i="7" s="1"/>
  <c r="K372" i="7"/>
  <c r="N372" i="7" s="1"/>
  <c r="K380" i="7"/>
  <c r="N380" i="7" s="1"/>
  <c r="K388" i="7"/>
  <c r="N388" i="7" s="1"/>
  <c r="K396" i="7"/>
  <c r="N396" i="7" s="1"/>
  <c r="K404" i="7"/>
  <c r="N404" i="7" s="1"/>
  <c r="K412" i="7"/>
  <c r="N412" i="7" s="1"/>
  <c r="K420" i="7"/>
  <c r="N420" i="7" s="1"/>
  <c r="K428" i="7"/>
  <c r="N428" i="7" s="1"/>
  <c r="K436" i="7"/>
  <c r="N436" i="7" s="1"/>
  <c r="K444" i="7"/>
  <c r="N444" i="7" s="1"/>
  <c r="K452" i="7"/>
  <c r="N452" i="7" s="1"/>
  <c r="K460" i="7"/>
  <c r="N460" i="7" s="1"/>
  <c r="K468" i="7"/>
  <c r="N468" i="7" s="1"/>
  <c r="K476" i="7"/>
  <c r="N476" i="7" s="1"/>
  <c r="K484" i="7"/>
  <c r="N484" i="7" s="1"/>
  <c r="J14" i="7"/>
  <c r="J22" i="7"/>
  <c r="J30" i="7"/>
  <c r="J38" i="7"/>
  <c r="J46" i="7"/>
  <c r="J54" i="7"/>
  <c r="J62" i="7"/>
  <c r="J70" i="7"/>
  <c r="J78" i="7"/>
  <c r="J86" i="7"/>
  <c r="M28" i="7"/>
  <c r="M60" i="7"/>
  <c r="M92" i="7"/>
  <c r="M124" i="7"/>
  <c r="M156" i="7"/>
  <c r="M179" i="7"/>
  <c r="M197" i="7"/>
  <c r="M220" i="7"/>
  <c r="M243" i="7"/>
  <c r="M261" i="7"/>
  <c r="M284" i="7"/>
  <c r="M307" i="7"/>
  <c r="M325" i="7"/>
  <c r="M348" i="7"/>
  <c r="M371" i="7"/>
  <c r="M389" i="7"/>
  <c r="M412" i="7"/>
  <c r="M435" i="7"/>
  <c r="M453" i="7"/>
  <c r="M476" i="7"/>
  <c r="K17" i="7"/>
  <c r="N17" i="7" s="1"/>
  <c r="K35" i="7"/>
  <c r="K58" i="7"/>
  <c r="N58" i="7" s="1"/>
  <c r="K81" i="7"/>
  <c r="N81" i="7" s="1"/>
  <c r="K97" i="7"/>
  <c r="N97" i="7" s="1"/>
  <c r="K113" i="7"/>
  <c r="N113" i="7" s="1"/>
  <c r="K126" i="7"/>
  <c r="N126" i="7" s="1"/>
  <c r="K138" i="7"/>
  <c r="N138" i="7" s="1"/>
  <c r="K148" i="7"/>
  <c r="N148" i="7" s="1"/>
  <c r="K158" i="7"/>
  <c r="N158" i="7" s="1"/>
  <c r="K169" i="7"/>
  <c r="N169" i="7" s="1"/>
  <c r="K178" i="7"/>
  <c r="N178" i="7" s="1"/>
  <c r="K187" i="7"/>
  <c r="N187" i="7" s="1"/>
  <c r="K196" i="7"/>
  <c r="N196" i="7" s="1"/>
  <c r="K205" i="7"/>
  <c r="N205" i="7" s="1"/>
  <c r="K213" i="7"/>
  <c r="N213" i="7" s="1"/>
  <c r="K221" i="7"/>
  <c r="N221" i="7" s="1"/>
  <c r="K229" i="7"/>
  <c r="N229" i="7" s="1"/>
  <c r="K237" i="7"/>
  <c r="N237" i="7" s="1"/>
  <c r="K245" i="7"/>
  <c r="N245" i="7" s="1"/>
  <c r="K253" i="7"/>
  <c r="N253" i="7" s="1"/>
  <c r="K261" i="7"/>
  <c r="N261" i="7" s="1"/>
  <c r="K269" i="7"/>
  <c r="N269" i="7" s="1"/>
  <c r="K277" i="7"/>
  <c r="N277" i="7" s="1"/>
  <c r="K285" i="7"/>
  <c r="N285" i="7" s="1"/>
  <c r="K293" i="7"/>
  <c r="N293" i="7" s="1"/>
  <c r="K301" i="7"/>
  <c r="N301" i="7" s="1"/>
  <c r="K309" i="7"/>
  <c r="N309" i="7" s="1"/>
  <c r="K317" i="7"/>
  <c r="N317" i="7" s="1"/>
  <c r="K325" i="7"/>
  <c r="N325" i="7" s="1"/>
  <c r="K333" i="7"/>
  <c r="N333" i="7" s="1"/>
  <c r="K341" i="7"/>
  <c r="N341" i="7" s="1"/>
  <c r="K349" i="7"/>
  <c r="N349" i="7" s="1"/>
  <c r="K357" i="7"/>
  <c r="N357" i="7" s="1"/>
  <c r="K365" i="7"/>
  <c r="N365" i="7" s="1"/>
  <c r="K373" i="7"/>
  <c r="N373" i="7" s="1"/>
  <c r="K381" i="7"/>
  <c r="N381" i="7" s="1"/>
  <c r="K389" i="7"/>
  <c r="N389" i="7" s="1"/>
  <c r="K397" i="7"/>
  <c r="N397" i="7" s="1"/>
  <c r="K405" i="7"/>
  <c r="N405" i="7" s="1"/>
  <c r="K413" i="7"/>
  <c r="N413" i="7" s="1"/>
  <c r="K421" i="7"/>
  <c r="N421" i="7" s="1"/>
  <c r="K429" i="7"/>
  <c r="N429" i="7" s="1"/>
  <c r="K437" i="7"/>
  <c r="N437" i="7" s="1"/>
  <c r="K445" i="7"/>
  <c r="N445" i="7" s="1"/>
  <c r="K453" i="7"/>
  <c r="N453" i="7" s="1"/>
  <c r="K461" i="7"/>
  <c r="N461" i="7" s="1"/>
  <c r="K469" i="7"/>
  <c r="N469" i="7" s="1"/>
  <c r="K477" i="7"/>
  <c r="N477" i="7" s="1"/>
  <c r="K485" i="7"/>
  <c r="N485" i="7" s="1"/>
  <c r="J15" i="7"/>
  <c r="J23" i="7"/>
  <c r="J31" i="7"/>
  <c r="M35" i="7"/>
  <c r="M67" i="7"/>
  <c r="M99" i="7"/>
  <c r="M131" i="7"/>
  <c r="M157" i="7"/>
  <c r="M180" i="7"/>
  <c r="M203" i="7"/>
  <c r="M221" i="7"/>
  <c r="M244" i="7"/>
  <c r="M267" i="7"/>
  <c r="M285" i="7"/>
  <c r="M308" i="7"/>
  <c r="M331" i="7"/>
  <c r="M349" i="7"/>
  <c r="M372" i="7"/>
  <c r="M395" i="7"/>
  <c r="M413" i="7"/>
  <c r="M436" i="7"/>
  <c r="M459" i="7"/>
  <c r="M477" i="7"/>
  <c r="K18" i="7"/>
  <c r="K41" i="7"/>
  <c r="N41" i="7" s="1"/>
  <c r="K59" i="7"/>
  <c r="N59" i="7" s="1"/>
  <c r="K82" i="7"/>
  <c r="N82" i="7" s="1"/>
  <c r="K98" i="7"/>
  <c r="N98" i="7" s="1"/>
  <c r="K114" i="7"/>
  <c r="N114" i="7" s="1"/>
  <c r="K129" i="7"/>
  <c r="N129" i="7" s="1"/>
  <c r="K139" i="7"/>
  <c r="N139" i="7" s="1"/>
  <c r="K149" i="7"/>
  <c r="N149" i="7" s="1"/>
  <c r="K161" i="7"/>
  <c r="N161" i="7" s="1"/>
  <c r="K170" i="7"/>
  <c r="N170" i="7" s="1"/>
  <c r="K179" i="7"/>
  <c r="N179" i="7" s="1"/>
  <c r="K188" i="7"/>
  <c r="N188" i="7" s="1"/>
  <c r="K197" i="7"/>
  <c r="N197" i="7" s="1"/>
  <c r="K206" i="7"/>
  <c r="N206" i="7" s="1"/>
  <c r="K214" i="7"/>
  <c r="N214" i="7" s="1"/>
  <c r="K222" i="7"/>
  <c r="N222" i="7" s="1"/>
  <c r="K230" i="7"/>
  <c r="N230" i="7" s="1"/>
  <c r="K238" i="7"/>
  <c r="N238" i="7" s="1"/>
  <c r="K246" i="7"/>
  <c r="N246" i="7" s="1"/>
  <c r="K254" i="7"/>
  <c r="N254" i="7" s="1"/>
  <c r="K262" i="7"/>
  <c r="N262" i="7" s="1"/>
  <c r="K270" i="7"/>
  <c r="N270" i="7" s="1"/>
  <c r="K278" i="7"/>
  <c r="N278" i="7" s="1"/>
  <c r="K286" i="7"/>
  <c r="N286" i="7" s="1"/>
  <c r="K294" i="7"/>
  <c r="N294" i="7" s="1"/>
  <c r="K302" i="7"/>
  <c r="N302" i="7" s="1"/>
  <c r="K310" i="7"/>
  <c r="N310" i="7" s="1"/>
  <c r="K318" i="7"/>
  <c r="N318" i="7" s="1"/>
  <c r="K326" i="7"/>
  <c r="N326" i="7" s="1"/>
  <c r="K334" i="7"/>
  <c r="N334" i="7" s="1"/>
  <c r="K342" i="7"/>
  <c r="N342" i="7" s="1"/>
  <c r="K350" i="7"/>
  <c r="N350" i="7" s="1"/>
  <c r="K358" i="7"/>
  <c r="N358" i="7" s="1"/>
  <c r="K366" i="7"/>
  <c r="N366" i="7" s="1"/>
  <c r="K374" i="7"/>
  <c r="N374" i="7" s="1"/>
  <c r="K382" i="7"/>
  <c r="N382" i="7" s="1"/>
  <c r="K390" i="7"/>
  <c r="N390" i="7" s="1"/>
  <c r="K398" i="7"/>
  <c r="N398" i="7" s="1"/>
  <c r="K406" i="7"/>
  <c r="N406" i="7" s="1"/>
  <c r="K414" i="7"/>
  <c r="N414" i="7" s="1"/>
  <c r="K422" i="7"/>
  <c r="N422" i="7" s="1"/>
  <c r="K430" i="7"/>
  <c r="N430" i="7" s="1"/>
  <c r="K438" i="7"/>
  <c r="N438" i="7" s="1"/>
  <c r="K446" i="7"/>
  <c r="N446" i="7" s="1"/>
  <c r="K454" i="7"/>
  <c r="N454" i="7" s="1"/>
  <c r="K462" i="7"/>
  <c r="N462" i="7" s="1"/>
  <c r="K470" i="7"/>
  <c r="N470" i="7" s="1"/>
  <c r="K478" i="7"/>
  <c r="N478" i="7" s="1"/>
  <c r="K486" i="7"/>
  <c r="N486" i="7" s="1"/>
  <c r="J16" i="7"/>
  <c r="J24" i="7"/>
  <c r="J32" i="7"/>
  <c r="J40" i="7"/>
  <c r="J48" i="7"/>
  <c r="J56" i="7"/>
  <c r="J64" i="7"/>
  <c r="M36" i="7"/>
  <c r="M245" i="7"/>
  <c r="M419" i="7"/>
  <c r="K99" i="7"/>
  <c r="N99" i="7" s="1"/>
  <c r="K172" i="7"/>
  <c r="N172" i="7" s="1"/>
  <c r="K208" i="7"/>
  <c r="N208" i="7" s="1"/>
  <c r="K240" i="7"/>
  <c r="N240" i="7" s="1"/>
  <c r="K272" i="7"/>
  <c r="N272" i="7" s="1"/>
  <c r="K304" i="7"/>
  <c r="N304" i="7" s="1"/>
  <c r="K336" i="7"/>
  <c r="N336" i="7" s="1"/>
  <c r="K368" i="7"/>
  <c r="N368" i="7" s="1"/>
  <c r="K400" i="7"/>
  <c r="N400" i="7" s="1"/>
  <c r="K432" i="7"/>
  <c r="N432" i="7" s="1"/>
  <c r="K464" i="7"/>
  <c r="N464" i="7" s="1"/>
  <c r="J41" i="7"/>
  <c r="J63" i="7"/>
  <c r="J79" i="7"/>
  <c r="J89" i="7"/>
  <c r="J98" i="7"/>
  <c r="J107" i="7"/>
  <c r="J117" i="7"/>
  <c r="J125" i="7"/>
  <c r="J133" i="7"/>
  <c r="J141" i="7"/>
  <c r="J149" i="7"/>
  <c r="J157" i="7"/>
  <c r="J165" i="7"/>
  <c r="J173" i="7"/>
  <c r="J181" i="7"/>
  <c r="J189" i="7"/>
  <c r="J197" i="7"/>
  <c r="J205" i="7"/>
  <c r="J213" i="7"/>
  <c r="J221" i="7"/>
  <c r="J229" i="7"/>
  <c r="J237" i="7"/>
  <c r="J245" i="7"/>
  <c r="J253" i="7"/>
  <c r="J261" i="7"/>
  <c r="J269" i="7"/>
  <c r="J277" i="7"/>
  <c r="J285" i="7"/>
  <c r="J293" i="7"/>
  <c r="J301" i="7"/>
  <c r="J309" i="7"/>
  <c r="J317" i="7"/>
  <c r="J325" i="7"/>
  <c r="J333" i="7"/>
  <c r="J341" i="7"/>
  <c r="J349" i="7"/>
  <c r="J357" i="7"/>
  <c r="J365" i="7"/>
  <c r="J373" i="7"/>
  <c r="J381" i="7"/>
  <c r="J389" i="7"/>
  <c r="J397" i="7"/>
  <c r="J405" i="7"/>
  <c r="J413" i="7"/>
  <c r="J421" i="7"/>
  <c r="J429" i="7"/>
  <c r="J437" i="7"/>
  <c r="J445" i="7"/>
  <c r="J453" i="7"/>
  <c r="J461" i="7"/>
  <c r="J469" i="7"/>
  <c r="J477" i="7"/>
  <c r="J485" i="7"/>
  <c r="M68" i="7"/>
  <c r="M268" i="7"/>
  <c r="M437" i="7"/>
  <c r="K115" i="7"/>
  <c r="N115" i="7" s="1"/>
  <c r="K180" i="7"/>
  <c r="N180" i="7" s="1"/>
  <c r="K215" i="7"/>
  <c r="N215" i="7" s="1"/>
  <c r="K247" i="7"/>
  <c r="N247" i="7" s="1"/>
  <c r="K279" i="7"/>
  <c r="N279" i="7" s="1"/>
  <c r="K311" i="7"/>
  <c r="N311" i="7" s="1"/>
  <c r="K343" i="7"/>
  <c r="N343" i="7" s="1"/>
  <c r="K375" i="7"/>
  <c r="N375" i="7" s="1"/>
  <c r="K407" i="7"/>
  <c r="N407" i="7" s="1"/>
  <c r="K439" i="7"/>
  <c r="N439" i="7" s="1"/>
  <c r="K471" i="7"/>
  <c r="N471" i="7" s="1"/>
  <c r="J17" i="7"/>
  <c r="J42" i="7"/>
  <c r="J65" i="7"/>
  <c r="J80" i="7"/>
  <c r="J90" i="7"/>
  <c r="J99" i="7"/>
  <c r="J109" i="7"/>
  <c r="J118" i="7"/>
  <c r="J126" i="7"/>
  <c r="J134" i="7"/>
  <c r="J142" i="7"/>
  <c r="J150" i="7"/>
  <c r="J158" i="7"/>
  <c r="J166" i="7"/>
  <c r="J174" i="7"/>
  <c r="J182" i="7"/>
  <c r="J190" i="7"/>
  <c r="J198" i="7"/>
  <c r="J206" i="7"/>
  <c r="J214" i="7"/>
  <c r="J222" i="7"/>
  <c r="J230" i="7"/>
  <c r="J238" i="7"/>
  <c r="J246" i="7"/>
  <c r="J254" i="7"/>
  <c r="J262" i="7"/>
  <c r="J270" i="7"/>
  <c r="J278" i="7"/>
  <c r="J286" i="7"/>
  <c r="J294" i="7"/>
  <c r="J302" i="7"/>
  <c r="J310" i="7"/>
  <c r="J318" i="7"/>
  <c r="J326" i="7"/>
  <c r="J334" i="7"/>
  <c r="J342" i="7"/>
  <c r="J350" i="7"/>
  <c r="J358" i="7"/>
  <c r="J366" i="7"/>
  <c r="J374" i="7"/>
  <c r="J382" i="7"/>
  <c r="J390" i="7"/>
  <c r="J398" i="7"/>
  <c r="J406" i="7"/>
  <c r="J414" i="7"/>
  <c r="J422" i="7"/>
  <c r="J430" i="7"/>
  <c r="J438" i="7"/>
  <c r="J446" i="7"/>
  <c r="J454" i="7"/>
  <c r="J462" i="7"/>
  <c r="J470" i="7"/>
  <c r="J478" i="7"/>
  <c r="J486" i="7"/>
  <c r="M100" i="7"/>
  <c r="M291" i="7"/>
  <c r="M460" i="7"/>
  <c r="K130" i="7"/>
  <c r="N130" i="7" s="1"/>
  <c r="K181" i="7"/>
  <c r="N181" i="7" s="1"/>
  <c r="K216" i="7"/>
  <c r="N216" i="7" s="1"/>
  <c r="K248" i="7"/>
  <c r="N248" i="7" s="1"/>
  <c r="K280" i="7"/>
  <c r="N280" i="7" s="1"/>
  <c r="K312" i="7"/>
  <c r="N312" i="7" s="1"/>
  <c r="K344" i="7"/>
  <c r="N344" i="7" s="1"/>
  <c r="K376" i="7"/>
  <c r="N376" i="7" s="1"/>
  <c r="K408" i="7"/>
  <c r="N408" i="7" s="1"/>
  <c r="K440" i="7"/>
  <c r="N440" i="7" s="1"/>
  <c r="K472" i="7"/>
  <c r="N472" i="7" s="1"/>
  <c r="J18" i="7"/>
  <c r="J47" i="7"/>
  <c r="J66" i="7"/>
  <c r="J81" i="7"/>
  <c r="J91" i="7"/>
  <c r="J101" i="7"/>
  <c r="J110" i="7"/>
  <c r="J119" i="7"/>
  <c r="J127" i="7"/>
  <c r="J135" i="7"/>
  <c r="J143" i="7"/>
  <c r="J151" i="7"/>
  <c r="J159" i="7"/>
  <c r="J167" i="7"/>
  <c r="J175" i="7"/>
  <c r="J183" i="7"/>
  <c r="J191" i="7"/>
  <c r="J199" i="7"/>
  <c r="J207" i="7"/>
  <c r="J215" i="7"/>
  <c r="J223" i="7"/>
  <c r="J231" i="7"/>
  <c r="J239" i="7"/>
  <c r="J247" i="7"/>
  <c r="J255" i="7"/>
  <c r="J263" i="7"/>
  <c r="J271" i="7"/>
  <c r="J279" i="7"/>
  <c r="J287" i="7"/>
  <c r="J295" i="7"/>
  <c r="J303" i="7"/>
  <c r="J311" i="7"/>
  <c r="J319" i="7"/>
  <c r="J327" i="7"/>
  <c r="J335" i="7"/>
  <c r="J343" i="7"/>
  <c r="J351" i="7"/>
  <c r="J359" i="7"/>
  <c r="J367" i="7"/>
  <c r="J375" i="7"/>
  <c r="J383" i="7"/>
  <c r="J391" i="7"/>
  <c r="J399" i="7"/>
  <c r="J407" i="7"/>
  <c r="J415" i="7"/>
  <c r="J423" i="7"/>
  <c r="J431" i="7"/>
  <c r="J439" i="7"/>
  <c r="J447" i="7"/>
  <c r="J455" i="7"/>
  <c r="J463" i="7"/>
  <c r="J471" i="7"/>
  <c r="J479" i="7"/>
  <c r="J487" i="7"/>
  <c r="M132" i="7"/>
  <c r="M309" i="7"/>
  <c r="M483" i="7"/>
  <c r="K140" i="7"/>
  <c r="N140" i="7" s="1"/>
  <c r="K189" i="7"/>
  <c r="N189" i="7" s="1"/>
  <c r="K223" i="7"/>
  <c r="N223" i="7" s="1"/>
  <c r="K255" i="7"/>
  <c r="N255" i="7" s="1"/>
  <c r="K287" i="7"/>
  <c r="N287" i="7" s="1"/>
  <c r="K319" i="7"/>
  <c r="N319" i="7" s="1"/>
  <c r="K351" i="7"/>
  <c r="N351" i="7" s="1"/>
  <c r="K383" i="7"/>
  <c r="N383" i="7" s="1"/>
  <c r="K415" i="7"/>
  <c r="N415" i="7" s="1"/>
  <c r="K447" i="7"/>
  <c r="N447" i="7" s="1"/>
  <c r="K479" i="7"/>
  <c r="N479" i="7" s="1"/>
  <c r="J25" i="7"/>
  <c r="J49" i="7"/>
  <c r="J71" i="7"/>
  <c r="J82" i="7"/>
  <c r="J93" i="7"/>
  <c r="J102" i="7"/>
  <c r="J111" i="7"/>
  <c r="J120" i="7"/>
  <c r="J128" i="7"/>
  <c r="J136" i="7"/>
  <c r="J144" i="7"/>
  <c r="J152" i="7"/>
  <c r="J160" i="7"/>
  <c r="J168" i="7"/>
  <c r="J176" i="7"/>
  <c r="J184" i="7"/>
  <c r="J192" i="7"/>
  <c r="J200" i="7"/>
  <c r="J208" i="7"/>
  <c r="J216" i="7"/>
  <c r="J224" i="7"/>
  <c r="J232" i="7"/>
  <c r="J240" i="7"/>
  <c r="J248" i="7"/>
  <c r="J256" i="7"/>
  <c r="J264" i="7"/>
  <c r="J272" i="7"/>
  <c r="J280" i="7"/>
  <c r="J288" i="7"/>
  <c r="J296" i="7"/>
  <c r="J304" i="7"/>
  <c r="J312" i="7"/>
  <c r="J320" i="7"/>
  <c r="J328" i="7"/>
  <c r="J336" i="7"/>
  <c r="J344" i="7"/>
  <c r="J352" i="7"/>
  <c r="J360" i="7"/>
  <c r="J368" i="7"/>
  <c r="J376" i="7"/>
  <c r="J384" i="7"/>
  <c r="J392" i="7"/>
  <c r="J400" i="7"/>
  <c r="J408" i="7"/>
  <c r="J416" i="7"/>
  <c r="J424" i="7"/>
  <c r="J432" i="7"/>
  <c r="J440" i="7"/>
  <c r="J448" i="7"/>
  <c r="J456" i="7"/>
  <c r="J464" i="7"/>
  <c r="J472" i="7"/>
  <c r="J480" i="7"/>
  <c r="J488" i="7"/>
  <c r="M163" i="7"/>
  <c r="M332" i="7"/>
  <c r="K19" i="7"/>
  <c r="N19" i="7" s="1"/>
  <c r="K150" i="7"/>
  <c r="N150" i="7" s="1"/>
  <c r="K190" i="7"/>
  <c r="N190" i="7" s="1"/>
  <c r="K224" i="7"/>
  <c r="N224" i="7" s="1"/>
  <c r="K256" i="7"/>
  <c r="N256" i="7" s="1"/>
  <c r="K288" i="7"/>
  <c r="N288" i="7" s="1"/>
  <c r="K320" i="7"/>
  <c r="N320" i="7" s="1"/>
  <c r="K352" i="7"/>
  <c r="N352" i="7" s="1"/>
  <c r="K384" i="7"/>
  <c r="N384" i="7" s="1"/>
  <c r="K416" i="7"/>
  <c r="N416" i="7" s="1"/>
  <c r="K448" i="7"/>
  <c r="N448" i="7" s="1"/>
  <c r="K480" i="7"/>
  <c r="N480" i="7" s="1"/>
  <c r="J26" i="7"/>
  <c r="J50" i="7"/>
  <c r="J72" i="7"/>
  <c r="J83" i="7"/>
  <c r="J94" i="7"/>
  <c r="J103" i="7"/>
  <c r="J112" i="7"/>
  <c r="J121" i="7"/>
  <c r="J129" i="7"/>
  <c r="J137" i="7"/>
  <c r="J145" i="7"/>
  <c r="J153" i="7"/>
  <c r="J161" i="7"/>
  <c r="J169" i="7"/>
  <c r="J177" i="7"/>
  <c r="J185" i="7"/>
  <c r="J193" i="7"/>
  <c r="J201" i="7"/>
  <c r="J209" i="7"/>
  <c r="J217" i="7"/>
  <c r="J225" i="7"/>
  <c r="J233" i="7"/>
  <c r="J241" i="7"/>
  <c r="J249" i="7"/>
  <c r="J257" i="7"/>
  <c r="J265" i="7"/>
  <c r="J273" i="7"/>
  <c r="J281" i="7"/>
  <c r="J289" i="7"/>
  <c r="J297" i="7"/>
  <c r="J305" i="7"/>
  <c r="J313" i="7"/>
  <c r="J321" i="7"/>
  <c r="J329" i="7"/>
  <c r="J337" i="7"/>
  <c r="J345" i="7"/>
  <c r="J353" i="7"/>
  <c r="J361" i="7"/>
  <c r="J369" i="7"/>
  <c r="J377" i="7"/>
  <c r="J385" i="7"/>
  <c r="J393" i="7"/>
  <c r="J401" i="7"/>
  <c r="J409" i="7"/>
  <c r="J417" i="7"/>
  <c r="J425" i="7"/>
  <c r="J433" i="7"/>
  <c r="J441" i="7"/>
  <c r="J449" i="7"/>
  <c r="J457" i="7"/>
  <c r="J465" i="7"/>
  <c r="J473" i="7"/>
  <c r="J481" i="7"/>
  <c r="J489" i="7"/>
  <c r="M181" i="7"/>
  <c r="M355" i="7"/>
  <c r="K42" i="7"/>
  <c r="N42" i="7" s="1"/>
  <c r="K162" i="7"/>
  <c r="N162" i="7" s="1"/>
  <c r="K198" i="7"/>
  <c r="N198" i="7" s="1"/>
  <c r="K231" i="7"/>
  <c r="N231" i="7" s="1"/>
  <c r="K263" i="7"/>
  <c r="N263" i="7" s="1"/>
  <c r="K295" i="7"/>
  <c r="N295" i="7" s="1"/>
  <c r="K327" i="7"/>
  <c r="N327" i="7" s="1"/>
  <c r="K359" i="7"/>
  <c r="N359" i="7" s="1"/>
  <c r="K391" i="7"/>
  <c r="N391" i="7" s="1"/>
  <c r="K423" i="7"/>
  <c r="N423" i="7" s="1"/>
  <c r="K455" i="7"/>
  <c r="N455" i="7" s="1"/>
  <c r="K487" i="7"/>
  <c r="N487" i="7" s="1"/>
  <c r="J33" i="7"/>
  <c r="J55" i="7"/>
  <c r="J73" i="7"/>
  <c r="J85" i="7"/>
  <c r="J95" i="7"/>
  <c r="J104" i="7"/>
  <c r="J113" i="7"/>
  <c r="J122" i="7"/>
  <c r="J130" i="7"/>
  <c r="J138" i="7"/>
  <c r="J146" i="7"/>
  <c r="J154" i="7"/>
  <c r="J162" i="7"/>
  <c r="J170" i="7"/>
  <c r="J178" i="7"/>
  <c r="J186" i="7"/>
  <c r="J194" i="7"/>
  <c r="J202" i="7"/>
  <c r="J210" i="7"/>
  <c r="J218" i="7"/>
  <c r="J226" i="7"/>
  <c r="J234" i="7"/>
  <c r="J242" i="7"/>
  <c r="J250" i="7"/>
  <c r="J258" i="7"/>
  <c r="J266" i="7"/>
  <c r="J274" i="7"/>
  <c r="J282" i="7"/>
  <c r="J290" i="7"/>
  <c r="J298" i="7"/>
  <c r="J306" i="7"/>
  <c r="J314" i="7"/>
  <c r="J322" i="7"/>
  <c r="J330" i="7"/>
  <c r="J338" i="7"/>
  <c r="J346" i="7"/>
  <c r="J354" i="7"/>
  <c r="J362" i="7"/>
  <c r="J370" i="7"/>
  <c r="J378" i="7"/>
  <c r="J386" i="7"/>
  <c r="J394" i="7"/>
  <c r="J402" i="7"/>
  <c r="J410" i="7"/>
  <c r="J418" i="7"/>
  <c r="J426" i="7"/>
  <c r="J434" i="7"/>
  <c r="J442" i="7"/>
  <c r="J450" i="7"/>
  <c r="J458" i="7"/>
  <c r="J466" i="7"/>
  <c r="J474" i="7"/>
  <c r="J482" i="7"/>
  <c r="J490" i="7"/>
  <c r="M204" i="7"/>
  <c r="M373" i="7"/>
  <c r="K65" i="7"/>
  <c r="N65" i="7" s="1"/>
  <c r="K163" i="7"/>
  <c r="N163" i="7" s="1"/>
  <c r="K199" i="7"/>
  <c r="N199" i="7" s="1"/>
  <c r="K232" i="7"/>
  <c r="N232" i="7" s="1"/>
  <c r="K264" i="7"/>
  <c r="N264" i="7" s="1"/>
  <c r="K296" i="7"/>
  <c r="N296" i="7" s="1"/>
  <c r="K328" i="7"/>
  <c r="N328" i="7" s="1"/>
  <c r="K360" i="7"/>
  <c r="N360" i="7" s="1"/>
  <c r="K392" i="7"/>
  <c r="N392" i="7" s="1"/>
  <c r="K424" i="7"/>
  <c r="N424" i="7" s="1"/>
  <c r="K456" i="7"/>
  <c r="N456" i="7" s="1"/>
  <c r="K488" i="7"/>
  <c r="N488" i="7" s="1"/>
  <c r="J34" i="7"/>
  <c r="J57" i="7"/>
  <c r="J74" i="7"/>
  <c r="J87" i="7"/>
  <c r="J96" i="7"/>
  <c r="J105" i="7"/>
  <c r="J114" i="7"/>
  <c r="J123" i="7"/>
  <c r="J131" i="7"/>
  <c r="J139" i="7"/>
  <c r="J147" i="7"/>
  <c r="J155" i="7"/>
  <c r="J163" i="7"/>
  <c r="J171" i="7"/>
  <c r="J179" i="7"/>
  <c r="J187" i="7"/>
  <c r="J195" i="7"/>
  <c r="J203" i="7"/>
  <c r="J211" i="7"/>
  <c r="J219" i="7"/>
  <c r="J227" i="7"/>
  <c r="J235" i="7"/>
  <c r="J243" i="7"/>
  <c r="J251" i="7"/>
  <c r="J259" i="7"/>
  <c r="J267" i="7"/>
  <c r="J275" i="7"/>
  <c r="J283" i="7"/>
  <c r="J291" i="7"/>
  <c r="J299" i="7"/>
  <c r="J307" i="7"/>
  <c r="J315" i="7"/>
  <c r="J323" i="7"/>
  <c r="J331" i="7"/>
  <c r="J339" i="7"/>
  <c r="J347" i="7"/>
  <c r="J355" i="7"/>
  <c r="J363" i="7"/>
  <c r="J371" i="7"/>
  <c r="J379" i="7"/>
  <c r="J387" i="7"/>
  <c r="J395" i="7"/>
  <c r="J403" i="7"/>
  <c r="J411" i="7"/>
  <c r="J419" i="7"/>
  <c r="J427" i="7"/>
  <c r="J435" i="7"/>
  <c r="J443" i="7"/>
  <c r="J451" i="7"/>
  <c r="J459" i="7"/>
  <c r="J467" i="7"/>
  <c r="J475" i="7"/>
  <c r="J483" i="7"/>
  <c r="G38" i="6"/>
  <c r="J41" i="6" s="1"/>
  <c r="M227" i="7"/>
  <c r="M396" i="7"/>
  <c r="K83" i="7"/>
  <c r="N83" i="7" s="1"/>
  <c r="K171" i="7"/>
  <c r="N171" i="7" s="1"/>
  <c r="K207" i="7"/>
  <c r="N207" i="7" s="1"/>
  <c r="K239" i="7"/>
  <c r="N239" i="7" s="1"/>
  <c r="K271" i="7"/>
  <c r="N271" i="7" s="1"/>
  <c r="K303" i="7"/>
  <c r="N303" i="7" s="1"/>
  <c r="K335" i="7"/>
  <c r="N335" i="7" s="1"/>
  <c r="K367" i="7"/>
  <c r="N367" i="7" s="1"/>
  <c r="K399" i="7"/>
  <c r="N399" i="7" s="1"/>
  <c r="K431" i="7"/>
  <c r="N431" i="7" s="1"/>
  <c r="K463" i="7"/>
  <c r="N463" i="7" s="1"/>
  <c r="J39" i="7"/>
  <c r="J58" i="7"/>
  <c r="J77" i="7"/>
  <c r="J88" i="7"/>
  <c r="J97" i="7"/>
  <c r="J106" i="7"/>
  <c r="J115" i="7"/>
  <c r="J124" i="7"/>
  <c r="J132" i="7"/>
  <c r="J140" i="7"/>
  <c r="J148" i="7"/>
  <c r="J156" i="7"/>
  <c r="J164" i="7"/>
  <c r="J172" i="7"/>
  <c r="J180" i="7"/>
  <c r="J188" i="7"/>
  <c r="J196" i="7"/>
  <c r="J204" i="7"/>
  <c r="J212" i="7"/>
  <c r="J220" i="7"/>
  <c r="J228" i="7"/>
  <c r="J236" i="7"/>
  <c r="J244" i="7"/>
  <c r="J252" i="7"/>
  <c r="J260" i="7"/>
  <c r="J268" i="7"/>
  <c r="J276" i="7"/>
  <c r="J284" i="7"/>
  <c r="J292" i="7"/>
  <c r="J300" i="7"/>
  <c r="J308" i="7"/>
  <c r="J316" i="7"/>
  <c r="J324" i="7"/>
  <c r="J332" i="7"/>
  <c r="J340" i="7"/>
  <c r="J348" i="7"/>
  <c r="J356" i="7"/>
  <c r="J364" i="7"/>
  <c r="J372" i="7"/>
  <c r="J380" i="7"/>
  <c r="J388" i="7"/>
  <c r="J396" i="7"/>
  <c r="J404" i="7"/>
  <c r="J412" i="7"/>
  <c r="J420" i="7"/>
  <c r="J428" i="7"/>
  <c r="J436" i="7"/>
  <c r="J444" i="7"/>
  <c r="J452" i="7"/>
  <c r="J460" i="7"/>
  <c r="J468" i="7"/>
  <c r="J476" i="7"/>
  <c r="J484" i="7"/>
  <c r="F15" i="12"/>
  <c r="V10" i="2"/>
  <c r="N11" i="7" l="1"/>
  <c r="K19" i="12" s="1"/>
  <c r="J19" i="12"/>
  <c r="N12" i="7"/>
  <c r="K20" i="12" s="1"/>
  <c r="J20" i="12"/>
  <c r="I17" i="12"/>
  <c r="I18" i="12"/>
  <c r="N4" i="7"/>
  <c r="I15" i="12"/>
  <c r="I14" i="12"/>
  <c r="K16" i="12"/>
  <c r="J17" i="12"/>
  <c r="N14" i="7"/>
  <c r="K17" i="12" s="1"/>
  <c r="N36" i="7"/>
  <c r="I16" i="12"/>
  <c r="N18" i="7"/>
  <c r="J14" i="12"/>
  <c r="N28" i="7"/>
  <c r="N35" i="7"/>
  <c r="N38" i="7"/>
  <c r="N20" i="7"/>
  <c r="K15" i="12"/>
  <c r="J15" i="12"/>
  <c r="J18" i="12"/>
  <c r="N15" i="7"/>
  <c r="K18" i="12" s="1"/>
  <c r="J16" i="12"/>
  <c r="N5" i="7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3" i="10"/>
  <c r="Q4" i="10"/>
  <c r="Q5" i="10"/>
  <c r="B7" i="11" s="1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P23" i="10"/>
  <c r="P16" i="10"/>
  <c r="P17" i="10"/>
  <c r="P18" i="10"/>
  <c r="P19" i="10"/>
  <c r="P20" i="10"/>
  <c r="P21" i="10"/>
  <c r="P22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3" i="10"/>
  <c r="P4" i="10"/>
  <c r="P5" i="10"/>
  <c r="B8" i="11" s="1"/>
  <c r="P6" i="10"/>
  <c r="P7" i="10"/>
  <c r="P8" i="10"/>
  <c r="P9" i="10"/>
  <c r="P10" i="10"/>
  <c r="P11" i="10"/>
  <c r="P12" i="10"/>
  <c r="P13" i="10"/>
  <c r="P14" i="10"/>
  <c r="P15" i="10"/>
  <c r="K14" i="12" l="1"/>
  <c r="N2" i="2"/>
  <c r="N3" i="2"/>
  <c r="I24" i="5" l="1"/>
  <c r="I23" i="5"/>
  <c r="B24" i="5"/>
  <c r="B23" i="5"/>
  <c r="B500" i="10" l="1"/>
  <c r="A500" i="10"/>
  <c r="B499" i="10"/>
  <c r="A499" i="10"/>
  <c r="B498" i="10"/>
  <c r="A498" i="10"/>
  <c r="B497" i="10"/>
  <c r="A497" i="10"/>
  <c r="B496" i="10"/>
  <c r="A496" i="10"/>
  <c r="B495" i="10"/>
  <c r="A495" i="10"/>
  <c r="B494" i="10"/>
  <c r="A494" i="10"/>
  <c r="B493" i="10"/>
  <c r="A493" i="10"/>
  <c r="B492" i="10"/>
  <c r="A492" i="10"/>
  <c r="B491" i="10"/>
  <c r="A491" i="10"/>
  <c r="B490" i="10"/>
  <c r="A490" i="10"/>
  <c r="B489" i="10"/>
  <c r="A489" i="10"/>
  <c r="B488" i="10"/>
  <c r="A488" i="10"/>
  <c r="B487" i="10"/>
  <c r="A487" i="10"/>
  <c r="B486" i="10"/>
  <c r="A486" i="10"/>
  <c r="B485" i="10"/>
  <c r="A485" i="10"/>
  <c r="B484" i="10"/>
  <c r="A484" i="10"/>
  <c r="B483" i="10"/>
  <c r="A483" i="10"/>
  <c r="B482" i="10"/>
  <c r="A482" i="10"/>
  <c r="B481" i="10"/>
  <c r="A481" i="10"/>
  <c r="B480" i="10"/>
  <c r="A480" i="10"/>
  <c r="B479" i="10"/>
  <c r="A479" i="10"/>
  <c r="B478" i="10"/>
  <c r="A478" i="10"/>
  <c r="B477" i="10"/>
  <c r="A477" i="10"/>
  <c r="B476" i="10"/>
  <c r="A476" i="10"/>
  <c r="B475" i="10"/>
  <c r="A475" i="10"/>
  <c r="B474" i="10"/>
  <c r="A474" i="10"/>
  <c r="B473" i="10"/>
  <c r="A473" i="10"/>
  <c r="B472" i="10"/>
  <c r="A472" i="10"/>
  <c r="B471" i="10"/>
  <c r="A471" i="10"/>
  <c r="B470" i="10"/>
  <c r="A470" i="10"/>
  <c r="B469" i="10"/>
  <c r="A469" i="10"/>
  <c r="B468" i="10"/>
  <c r="A468" i="10"/>
  <c r="B467" i="10"/>
  <c r="A467" i="10"/>
  <c r="B466" i="10"/>
  <c r="A466" i="10"/>
  <c r="B465" i="10"/>
  <c r="A465" i="10"/>
  <c r="B464" i="10"/>
  <c r="A464" i="10"/>
  <c r="B463" i="10"/>
  <c r="A463" i="10"/>
  <c r="B462" i="10"/>
  <c r="A462" i="10"/>
  <c r="B461" i="10"/>
  <c r="A461" i="10"/>
  <c r="B460" i="10"/>
  <c r="A460" i="10"/>
  <c r="B459" i="10"/>
  <c r="A459" i="10"/>
  <c r="B458" i="10"/>
  <c r="A458" i="10"/>
  <c r="B457" i="10"/>
  <c r="A457" i="10"/>
  <c r="B456" i="10"/>
  <c r="A456" i="10"/>
  <c r="B455" i="10"/>
  <c r="A455" i="10"/>
  <c r="B454" i="10"/>
  <c r="A454" i="10"/>
  <c r="B453" i="10"/>
  <c r="A453" i="10"/>
  <c r="B452" i="10"/>
  <c r="A452" i="10"/>
  <c r="B451" i="10"/>
  <c r="A451" i="10"/>
  <c r="B450" i="10"/>
  <c r="A450" i="10"/>
  <c r="B449" i="10"/>
  <c r="A449" i="10"/>
  <c r="B448" i="10"/>
  <c r="A448" i="10"/>
  <c r="B447" i="10"/>
  <c r="A447" i="10"/>
  <c r="B446" i="10"/>
  <c r="A446" i="10"/>
  <c r="B445" i="10"/>
  <c r="A445" i="10"/>
  <c r="B444" i="10"/>
  <c r="A444" i="10"/>
  <c r="B443" i="10"/>
  <c r="A443" i="10"/>
  <c r="B442" i="10"/>
  <c r="A442" i="10"/>
  <c r="B441" i="10"/>
  <c r="A441" i="10"/>
  <c r="B440" i="10"/>
  <c r="A440" i="10"/>
  <c r="B439" i="10"/>
  <c r="A439" i="10"/>
  <c r="B438" i="10"/>
  <c r="A438" i="10"/>
  <c r="B437" i="10"/>
  <c r="A437" i="10"/>
  <c r="B436" i="10"/>
  <c r="A436" i="10"/>
  <c r="B435" i="10"/>
  <c r="A435" i="10"/>
  <c r="B434" i="10"/>
  <c r="A434" i="10"/>
  <c r="B433" i="10"/>
  <c r="A433" i="10"/>
  <c r="B432" i="10"/>
  <c r="A432" i="10"/>
  <c r="B431" i="10"/>
  <c r="A431" i="10"/>
  <c r="B430" i="10"/>
  <c r="A430" i="10"/>
  <c r="B429" i="10"/>
  <c r="A429" i="10"/>
  <c r="B428" i="10"/>
  <c r="A428" i="10"/>
  <c r="B427" i="10"/>
  <c r="A427" i="10"/>
  <c r="B426" i="10"/>
  <c r="A426" i="10"/>
  <c r="B425" i="10"/>
  <c r="A425" i="10"/>
  <c r="B424" i="10"/>
  <c r="A424" i="10"/>
  <c r="B423" i="10"/>
  <c r="A423" i="10"/>
  <c r="B422" i="10"/>
  <c r="A422" i="10"/>
  <c r="B421" i="10"/>
  <c r="A421" i="10"/>
  <c r="B420" i="10"/>
  <c r="A420" i="10"/>
  <c r="B419" i="10"/>
  <c r="A419" i="10"/>
  <c r="B418" i="10"/>
  <c r="A418" i="10"/>
  <c r="B417" i="10"/>
  <c r="A417" i="10"/>
  <c r="B416" i="10"/>
  <c r="A416" i="10"/>
  <c r="B415" i="10"/>
  <c r="A415" i="10"/>
  <c r="B414" i="10"/>
  <c r="A414" i="10"/>
  <c r="B413" i="10"/>
  <c r="A413" i="10"/>
  <c r="B412" i="10"/>
  <c r="A412" i="10"/>
  <c r="B411" i="10"/>
  <c r="A411" i="10"/>
  <c r="B410" i="10"/>
  <c r="A410" i="10"/>
  <c r="B409" i="10"/>
  <c r="A409" i="10"/>
  <c r="B408" i="10"/>
  <c r="A408" i="10"/>
  <c r="B407" i="10"/>
  <c r="A407" i="10"/>
  <c r="B406" i="10"/>
  <c r="A406" i="10"/>
  <c r="B405" i="10"/>
  <c r="A405" i="10"/>
  <c r="B404" i="10"/>
  <c r="A404" i="10"/>
  <c r="B403" i="10"/>
  <c r="A403" i="10"/>
  <c r="B402" i="10"/>
  <c r="A402" i="10"/>
  <c r="B401" i="10"/>
  <c r="A401" i="10"/>
  <c r="B400" i="10"/>
  <c r="A400" i="10"/>
  <c r="B399" i="10"/>
  <c r="A399" i="10"/>
  <c r="B398" i="10"/>
  <c r="A398" i="10"/>
  <c r="B397" i="10"/>
  <c r="A397" i="10"/>
  <c r="B396" i="10"/>
  <c r="A396" i="10"/>
  <c r="B395" i="10"/>
  <c r="A395" i="10"/>
  <c r="B394" i="10"/>
  <c r="A394" i="10"/>
  <c r="B393" i="10"/>
  <c r="A393" i="10"/>
  <c r="B392" i="10"/>
  <c r="A392" i="10"/>
  <c r="B391" i="10"/>
  <c r="A391" i="10"/>
  <c r="B390" i="10"/>
  <c r="A390" i="10"/>
  <c r="B389" i="10"/>
  <c r="A389" i="10"/>
  <c r="B388" i="10"/>
  <c r="A388" i="10"/>
  <c r="B387" i="10"/>
  <c r="A387" i="10"/>
  <c r="B386" i="10"/>
  <c r="A386" i="10"/>
  <c r="B385" i="10"/>
  <c r="A385" i="10"/>
  <c r="B384" i="10"/>
  <c r="A384" i="10"/>
  <c r="B383" i="10"/>
  <c r="A383" i="10"/>
  <c r="B382" i="10"/>
  <c r="A382" i="10"/>
  <c r="B381" i="10"/>
  <c r="A381" i="10"/>
  <c r="B380" i="10"/>
  <c r="A380" i="10"/>
  <c r="B379" i="10"/>
  <c r="A379" i="10"/>
  <c r="B378" i="10"/>
  <c r="A378" i="10"/>
  <c r="B377" i="10"/>
  <c r="A377" i="10"/>
  <c r="B376" i="10"/>
  <c r="A376" i="10"/>
  <c r="B375" i="10"/>
  <c r="A375" i="10"/>
  <c r="B374" i="10"/>
  <c r="A374" i="10"/>
  <c r="B373" i="10"/>
  <c r="A373" i="10"/>
  <c r="B372" i="10"/>
  <c r="A372" i="10"/>
  <c r="B371" i="10"/>
  <c r="A371" i="10"/>
  <c r="B370" i="10"/>
  <c r="A370" i="10"/>
  <c r="B369" i="10"/>
  <c r="A369" i="10"/>
  <c r="B368" i="10"/>
  <c r="A368" i="10"/>
  <c r="B367" i="10"/>
  <c r="A367" i="10"/>
  <c r="B366" i="10"/>
  <c r="A366" i="10"/>
  <c r="B365" i="10"/>
  <c r="A365" i="10"/>
  <c r="B364" i="10"/>
  <c r="A364" i="10"/>
  <c r="B363" i="10"/>
  <c r="A363" i="10"/>
  <c r="B362" i="10"/>
  <c r="A362" i="10"/>
  <c r="B361" i="10"/>
  <c r="A361" i="10"/>
  <c r="B360" i="10"/>
  <c r="A360" i="10"/>
  <c r="B359" i="10"/>
  <c r="A359" i="10"/>
  <c r="B358" i="10"/>
  <c r="A358" i="10"/>
  <c r="B357" i="10"/>
  <c r="A357" i="10"/>
  <c r="B356" i="10"/>
  <c r="A356" i="10"/>
  <c r="B355" i="10"/>
  <c r="A355" i="10"/>
  <c r="B354" i="10"/>
  <c r="A354" i="10"/>
  <c r="B353" i="10"/>
  <c r="A353" i="10"/>
  <c r="B352" i="10"/>
  <c r="A352" i="10"/>
  <c r="B351" i="10"/>
  <c r="A351" i="10"/>
  <c r="B350" i="10"/>
  <c r="A350" i="10"/>
  <c r="B349" i="10"/>
  <c r="A349" i="10"/>
  <c r="B348" i="10"/>
  <c r="A348" i="10"/>
  <c r="B347" i="10"/>
  <c r="A347" i="10"/>
  <c r="B346" i="10"/>
  <c r="A346" i="10"/>
  <c r="B345" i="10"/>
  <c r="A345" i="10"/>
  <c r="B344" i="10"/>
  <c r="A344" i="10"/>
  <c r="B343" i="10"/>
  <c r="A343" i="10"/>
  <c r="B342" i="10"/>
  <c r="A342" i="10"/>
  <c r="B341" i="10"/>
  <c r="A341" i="10"/>
  <c r="B340" i="10"/>
  <c r="A340" i="10"/>
  <c r="B339" i="10"/>
  <c r="A339" i="10"/>
  <c r="B338" i="10"/>
  <c r="A338" i="10"/>
  <c r="B337" i="10"/>
  <c r="A337" i="10"/>
  <c r="B336" i="10"/>
  <c r="A336" i="10"/>
  <c r="B335" i="10"/>
  <c r="A335" i="10"/>
  <c r="B334" i="10"/>
  <c r="A334" i="10"/>
  <c r="B333" i="10"/>
  <c r="A333" i="10"/>
  <c r="B332" i="10"/>
  <c r="A332" i="10"/>
  <c r="B331" i="10"/>
  <c r="A331" i="10"/>
  <c r="B330" i="10"/>
  <c r="A330" i="10"/>
  <c r="B329" i="10"/>
  <c r="A329" i="10"/>
  <c r="B328" i="10"/>
  <c r="A328" i="10"/>
  <c r="B327" i="10"/>
  <c r="A327" i="10"/>
  <c r="B326" i="10"/>
  <c r="A326" i="10"/>
  <c r="B325" i="10"/>
  <c r="A325" i="10"/>
  <c r="B324" i="10"/>
  <c r="A324" i="10"/>
  <c r="B323" i="10"/>
  <c r="A323" i="10"/>
  <c r="B322" i="10"/>
  <c r="A322" i="10"/>
  <c r="B321" i="10"/>
  <c r="A321" i="10"/>
  <c r="B320" i="10"/>
  <c r="A320" i="10"/>
  <c r="B319" i="10"/>
  <c r="A319" i="10"/>
  <c r="B318" i="10"/>
  <c r="A318" i="10"/>
  <c r="B317" i="10"/>
  <c r="A317" i="10"/>
  <c r="B316" i="10"/>
  <c r="A316" i="10"/>
  <c r="B315" i="10"/>
  <c r="A315" i="10"/>
  <c r="B314" i="10"/>
  <c r="A314" i="10"/>
  <c r="B313" i="10"/>
  <c r="A313" i="10"/>
  <c r="B312" i="10"/>
  <c r="A312" i="10"/>
  <c r="B311" i="10"/>
  <c r="A311" i="10"/>
  <c r="B310" i="10"/>
  <c r="A310" i="10"/>
  <c r="B309" i="10"/>
  <c r="A309" i="10"/>
  <c r="B308" i="10"/>
  <c r="A308" i="10"/>
  <c r="B307" i="10"/>
  <c r="A307" i="10"/>
  <c r="B306" i="10"/>
  <c r="A306" i="10"/>
  <c r="B305" i="10"/>
  <c r="A305" i="10"/>
  <c r="B304" i="10"/>
  <c r="A304" i="10"/>
  <c r="B303" i="10"/>
  <c r="A303" i="10"/>
  <c r="B302" i="10"/>
  <c r="A302" i="10"/>
  <c r="B301" i="10"/>
  <c r="A301" i="10"/>
  <c r="B300" i="10"/>
  <c r="A300" i="10"/>
  <c r="B299" i="10"/>
  <c r="A299" i="10"/>
  <c r="B298" i="10"/>
  <c r="A298" i="10"/>
  <c r="B297" i="10"/>
  <c r="A297" i="10"/>
  <c r="B296" i="10"/>
  <c r="A296" i="10"/>
  <c r="B295" i="10"/>
  <c r="A295" i="10"/>
  <c r="B294" i="10"/>
  <c r="A294" i="10"/>
  <c r="B293" i="10"/>
  <c r="A293" i="10"/>
  <c r="B292" i="10"/>
  <c r="A292" i="10"/>
  <c r="B291" i="10"/>
  <c r="A291" i="10"/>
  <c r="B290" i="10"/>
  <c r="A290" i="10"/>
  <c r="B289" i="10"/>
  <c r="A289" i="10"/>
  <c r="B288" i="10"/>
  <c r="A288" i="10"/>
  <c r="B287" i="10"/>
  <c r="A287" i="10"/>
  <c r="B286" i="10"/>
  <c r="A286" i="10"/>
  <c r="B285" i="10"/>
  <c r="A285" i="10"/>
  <c r="B284" i="10"/>
  <c r="A284" i="10"/>
  <c r="B283" i="10"/>
  <c r="A283" i="10"/>
  <c r="B282" i="10"/>
  <c r="A282" i="10"/>
  <c r="B281" i="10"/>
  <c r="A281" i="10"/>
  <c r="B280" i="10"/>
  <c r="A280" i="10"/>
  <c r="B279" i="10"/>
  <c r="A279" i="10"/>
  <c r="B278" i="10"/>
  <c r="A278" i="10"/>
  <c r="B277" i="10"/>
  <c r="A277" i="10"/>
  <c r="B276" i="10"/>
  <c r="A276" i="10"/>
  <c r="B275" i="10"/>
  <c r="A275" i="10"/>
  <c r="B274" i="10"/>
  <c r="A274" i="10"/>
  <c r="B273" i="10"/>
  <c r="A273" i="10"/>
  <c r="B272" i="10"/>
  <c r="A272" i="10"/>
  <c r="B271" i="10"/>
  <c r="A271" i="10"/>
  <c r="B270" i="10"/>
  <c r="A270" i="10"/>
  <c r="B269" i="10"/>
  <c r="A269" i="10"/>
  <c r="B268" i="10"/>
  <c r="A268" i="10"/>
  <c r="B267" i="10"/>
  <c r="A267" i="10"/>
  <c r="B266" i="10"/>
  <c r="A266" i="10"/>
  <c r="B265" i="10"/>
  <c r="A265" i="10"/>
  <c r="B264" i="10"/>
  <c r="A264" i="10"/>
  <c r="B263" i="10"/>
  <c r="A263" i="10"/>
  <c r="B262" i="10"/>
  <c r="A262" i="10"/>
  <c r="B261" i="10"/>
  <c r="A261" i="10"/>
  <c r="B260" i="10"/>
  <c r="A260" i="10"/>
  <c r="B259" i="10"/>
  <c r="A259" i="10"/>
  <c r="B258" i="10"/>
  <c r="A258" i="10"/>
  <c r="B257" i="10"/>
  <c r="A257" i="10"/>
  <c r="B256" i="10"/>
  <c r="A256" i="10"/>
  <c r="B255" i="10"/>
  <c r="A255" i="10"/>
  <c r="B254" i="10"/>
  <c r="A254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N54" i="11" l="1"/>
  <c r="V9" i="11"/>
  <c r="V50" i="11" s="1"/>
  <c r="H17" i="11"/>
  <c r="O54" i="11"/>
  <c r="H11" i="2"/>
  <c r="P45" i="11"/>
  <c r="O45" i="11"/>
  <c r="N45" i="11"/>
  <c r="M45" i="11"/>
  <c r="H45" i="11"/>
  <c r="G45" i="11" s="1"/>
  <c r="M28" i="11"/>
  <c r="M43" i="11"/>
  <c r="H25" i="11"/>
  <c r="M35" i="11"/>
  <c r="O46" i="11"/>
  <c r="O48" i="11"/>
  <c r="O27" i="11"/>
  <c r="P38" i="11"/>
  <c r="O42" i="11"/>
  <c r="M32" i="11"/>
  <c r="M37" i="11"/>
  <c r="N34" i="11"/>
  <c r="H29" i="11"/>
  <c r="G29" i="11" s="1"/>
  <c r="O26" i="11"/>
  <c r="N47" i="11"/>
  <c r="M21" i="11"/>
  <c r="M39" i="11"/>
  <c r="N31" i="11"/>
  <c r="H39" i="11"/>
  <c r="G39" i="11" s="1"/>
  <c r="M25" i="11"/>
  <c r="P36" i="11"/>
  <c r="H20" i="11"/>
  <c r="O33" i="11"/>
  <c r="H43" i="11"/>
  <c r="G43" i="11" s="1"/>
  <c r="O25" i="11"/>
  <c r="M46" i="11"/>
  <c r="N23" i="11"/>
  <c r="N27" i="11"/>
  <c r="N22" i="11"/>
  <c r="H42" i="11"/>
  <c r="G42" i="11" s="1"/>
  <c r="H32" i="11"/>
  <c r="G32" i="11" s="1"/>
  <c r="O44" i="11"/>
  <c r="M34" i="11"/>
  <c r="O36" i="11"/>
  <c r="M26" i="11"/>
  <c r="H47" i="11"/>
  <c r="G47" i="11" s="1"/>
  <c r="H41" i="11"/>
  <c r="G41" i="11" s="1"/>
  <c r="P39" i="11"/>
  <c r="H31" i="11"/>
  <c r="G31" i="11" s="1"/>
  <c r="P44" i="11"/>
  <c r="H49" i="11"/>
  <c r="G49" i="11" s="1"/>
  <c r="O41" i="11"/>
  <c r="O31" i="11"/>
  <c r="P27" i="11"/>
  <c r="P34" i="11"/>
  <c r="O21" i="11"/>
  <c r="N43" i="11"/>
  <c r="M27" i="11"/>
  <c r="N32" i="11"/>
  <c r="M47" i="11"/>
  <c r="M33" i="11"/>
  <c r="M40" i="11"/>
  <c r="P25" i="11"/>
  <c r="M24" i="11"/>
  <c r="H46" i="11"/>
  <c r="G46" i="11" s="1"/>
  <c r="O23" i="11"/>
  <c r="H27" i="11"/>
  <c r="M22" i="11"/>
  <c r="O30" i="11"/>
  <c r="P32" i="11"/>
  <c r="H34" i="11"/>
  <c r="G34" i="11" s="1"/>
  <c r="N36" i="11"/>
  <c r="P47" i="11"/>
  <c r="O39" i="11"/>
  <c r="H28" i="11"/>
  <c r="N40" i="11"/>
  <c r="P48" i="11"/>
  <c r="N42" i="11"/>
  <c r="M29" i="11"/>
  <c r="M20" i="11"/>
  <c r="H33" i="11"/>
  <c r="G33" i="11" s="1"/>
  <c r="N46" i="11"/>
  <c r="O22" i="11"/>
  <c r="O34" i="11"/>
  <c r="M31" i="11"/>
  <c r="O28" i="11"/>
  <c r="P33" i="11"/>
  <c r="H40" i="11"/>
  <c r="G40" i="11" s="1"/>
  <c r="N25" i="11"/>
  <c r="H24" i="11"/>
  <c r="P46" i="11"/>
  <c r="M23" i="11"/>
  <c r="O38" i="11"/>
  <c r="H22" i="11"/>
  <c r="N30" i="11"/>
  <c r="O32" i="11"/>
  <c r="N44" i="11"/>
  <c r="P29" i="11"/>
  <c r="H36" i="11"/>
  <c r="G36" i="11" s="1"/>
  <c r="O49" i="11"/>
  <c r="O47" i="11"/>
  <c r="P41" i="11"/>
  <c r="P20" i="11"/>
  <c r="P31" i="11"/>
  <c r="N35" i="11"/>
  <c r="P30" i="11"/>
  <c r="M49" i="11"/>
  <c r="H35" i="11"/>
  <c r="G35" i="11" s="1"/>
  <c r="M42" i="11"/>
  <c r="N26" i="11"/>
  <c r="E16" i="11"/>
  <c r="P28" i="11"/>
  <c r="N33" i="11"/>
  <c r="B33" i="11" s="1"/>
  <c r="P40" i="11"/>
  <c r="P35" i="11"/>
  <c r="P24" i="11"/>
  <c r="M48" i="11"/>
  <c r="H23" i="11"/>
  <c r="M38" i="11"/>
  <c r="P22" i="11"/>
  <c r="M30" i="11"/>
  <c r="P37" i="11"/>
  <c r="H44" i="11"/>
  <c r="G44" i="11" s="1"/>
  <c r="O29" i="11"/>
  <c r="M36" i="11"/>
  <c r="P49" i="11"/>
  <c r="P21" i="11"/>
  <c r="N41" i="11"/>
  <c r="O20" i="11"/>
  <c r="G20" i="11" s="1"/>
  <c r="O43" i="11"/>
  <c r="H38" i="11"/>
  <c r="G38" i="11" s="1"/>
  <c r="N37" i="11"/>
  <c r="N39" i="11"/>
  <c r="B39" i="11" s="1"/>
  <c r="N48" i="11"/>
  <c r="H37" i="11"/>
  <c r="G37" i="11" s="1"/>
  <c r="H21" i="11"/>
  <c r="G21" i="11" s="1"/>
  <c r="N28" i="11"/>
  <c r="P43" i="11"/>
  <c r="O40" i="11"/>
  <c r="O35" i="11"/>
  <c r="O24" i="11"/>
  <c r="H48" i="11"/>
  <c r="G48" i="11" s="1"/>
  <c r="P23" i="11"/>
  <c r="N38" i="11"/>
  <c r="P42" i="11"/>
  <c r="H30" i="11"/>
  <c r="G30" i="11" s="1"/>
  <c r="O37" i="11"/>
  <c r="M44" i="11"/>
  <c r="N29" i="11"/>
  <c r="P26" i="11"/>
  <c r="N49" i="11"/>
  <c r="N21" i="11"/>
  <c r="M41" i="11"/>
  <c r="N20" i="11"/>
  <c r="N24" i="11"/>
  <c r="H26" i="11"/>
  <c r="G26" i="11" s="1"/>
  <c r="L48" i="2"/>
  <c r="E6" i="2"/>
  <c r="B6" i="2" s="1"/>
  <c r="E8" i="2"/>
  <c r="B8" i="2" s="1"/>
  <c r="E7" i="2"/>
  <c r="B7" i="2" s="1"/>
  <c r="P49" i="2"/>
  <c r="N4" i="2"/>
  <c r="N5" i="2"/>
  <c r="B41" i="11" l="1"/>
  <c r="B21" i="11"/>
  <c r="B49" i="11"/>
  <c r="B43" i="11"/>
  <c r="B29" i="11"/>
  <c r="B32" i="11"/>
  <c r="B20" i="11"/>
  <c r="B45" i="11"/>
  <c r="B26" i="11"/>
  <c r="B42" i="11"/>
  <c r="B35" i="11"/>
  <c r="B37" i="11"/>
  <c r="B40" i="11"/>
  <c r="B38" i="11"/>
  <c r="B36" i="11"/>
  <c r="P50" i="11"/>
  <c r="B30" i="11"/>
  <c r="B48" i="11"/>
  <c r="G23" i="11"/>
  <c r="B23" i="11" s="1"/>
  <c r="G22" i="11"/>
  <c r="B22" i="11" s="1"/>
  <c r="B34" i="11"/>
  <c r="G25" i="11"/>
  <c r="B25" i="11" s="1"/>
  <c r="B31" i="11"/>
  <c r="G28" i="11"/>
  <c r="B28" i="11" s="1"/>
  <c r="G27" i="11"/>
  <c r="B27" i="11" s="1"/>
  <c r="G24" i="11"/>
  <c r="B24" i="11" s="1"/>
  <c r="B46" i="11"/>
  <c r="B44" i="11"/>
  <c r="B47" i="11"/>
  <c r="A13" i="2"/>
  <c r="H13" i="2" s="1"/>
  <c r="H44" i="2" l="1"/>
  <c r="C14" i="2" l="1"/>
  <c r="C15" i="2"/>
  <c r="C16" i="2"/>
  <c r="C17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13" i="2"/>
  <c r="K56" i="2" l="1"/>
  <c r="K55" i="2"/>
  <c r="F56" i="2"/>
  <c r="F55" i="2"/>
  <c r="H9" i="2"/>
  <c r="Y9" i="2" l="1"/>
  <c r="Q49" i="2"/>
  <c r="A491" i="7"/>
  <c r="A14" i="2"/>
  <c r="H14" i="2" s="1"/>
  <c r="G14" i="2" l="1"/>
  <c r="O14" i="2"/>
  <c r="Y43" i="2"/>
  <c r="H12" i="2"/>
  <c r="O13" i="2" l="1"/>
  <c r="N13" i="2" l="1"/>
  <c r="S13" i="2"/>
  <c r="Q13" i="2"/>
  <c r="G13" i="2" s="1"/>
  <c r="N14" i="2"/>
  <c r="S14" i="2" l="1"/>
  <c r="Q14" i="2"/>
  <c r="A31" i="2"/>
  <c r="H31" i="2" s="1"/>
  <c r="G31" i="2" s="1"/>
  <c r="A38" i="2"/>
  <c r="H38" i="2" s="1"/>
  <c r="G38" i="2" s="1"/>
  <c r="A27" i="2"/>
  <c r="H27" i="2" s="1"/>
  <c r="G27" i="2" s="1"/>
  <c r="A21" i="2"/>
  <c r="H21" i="2" s="1"/>
  <c r="G21" i="2" s="1"/>
  <c r="A37" i="2"/>
  <c r="H37" i="2" s="1"/>
  <c r="G37" i="2" s="1"/>
  <c r="A23" i="2"/>
  <c r="H23" i="2" s="1"/>
  <c r="G23" i="2" s="1"/>
  <c r="A18" i="2"/>
  <c r="H18" i="2" s="1"/>
  <c r="G18" i="2" s="1"/>
  <c r="A30" i="2"/>
  <c r="H30" i="2" s="1"/>
  <c r="G30" i="2" s="1"/>
  <c r="A24" i="2"/>
  <c r="H24" i="2" s="1"/>
  <c r="G24" i="2" s="1"/>
  <c r="A16" i="2"/>
  <c r="H16" i="2" s="1"/>
  <c r="A22" i="2"/>
  <c r="H22" i="2" s="1"/>
  <c r="G22" i="2" s="1"/>
  <c r="A39" i="2"/>
  <c r="H39" i="2" s="1"/>
  <c r="G39" i="2" s="1"/>
  <c r="A36" i="2"/>
  <c r="H36" i="2" s="1"/>
  <c r="G36" i="2" s="1"/>
  <c r="A32" i="2"/>
  <c r="H32" i="2" s="1"/>
  <c r="G32" i="2" s="1"/>
  <c r="A34" i="2"/>
  <c r="H34" i="2" s="1"/>
  <c r="G34" i="2" s="1"/>
  <c r="A29" i="2"/>
  <c r="H29" i="2" s="1"/>
  <c r="G29" i="2" s="1"/>
  <c r="A19" i="2"/>
  <c r="H19" i="2" s="1"/>
  <c r="G19" i="2" s="1"/>
  <c r="A17" i="2"/>
  <c r="H17" i="2" s="1"/>
  <c r="A42" i="2"/>
  <c r="H42" i="2" s="1"/>
  <c r="G42" i="2" s="1"/>
  <c r="A41" i="2"/>
  <c r="H41" i="2" s="1"/>
  <c r="G41" i="2" s="1"/>
  <c r="A28" i="2"/>
  <c r="H28" i="2" s="1"/>
  <c r="G28" i="2" s="1"/>
  <c r="A40" i="2"/>
  <c r="H40" i="2" s="1"/>
  <c r="G40" i="2" s="1"/>
  <c r="A35" i="2"/>
  <c r="H35" i="2" s="1"/>
  <c r="G35" i="2" s="1"/>
  <c r="A25" i="2"/>
  <c r="H25" i="2" s="1"/>
  <c r="G25" i="2" s="1"/>
  <c r="A20" i="2"/>
  <c r="H20" i="2" s="1"/>
  <c r="G20" i="2" s="1"/>
  <c r="A33" i="2"/>
  <c r="H33" i="2" s="1"/>
  <c r="G33" i="2" s="1"/>
  <c r="A26" i="2"/>
  <c r="H26" i="2" s="1"/>
  <c r="G26" i="2" s="1"/>
  <c r="A15" i="2"/>
  <c r="H15" i="2" s="1"/>
  <c r="G15" i="2" s="1"/>
  <c r="G17" i="2" l="1"/>
  <c r="G16" i="2"/>
  <c r="N29" i="2"/>
  <c r="Q35" i="2"/>
  <c r="Q18" i="2"/>
  <c r="S26" i="2"/>
  <c r="S22" i="2"/>
  <c r="Q33" i="2"/>
  <c r="Q38" i="2"/>
  <c r="S31" i="2"/>
  <c r="Q32" i="2"/>
  <c r="Q23" i="2"/>
  <c r="O25" i="2"/>
  <c r="Q40" i="2"/>
  <c r="N36" i="2"/>
  <c r="N42" i="2"/>
  <c r="N17" i="2"/>
  <c r="S20" i="2"/>
  <c r="N30" i="2"/>
  <c r="N28" i="2"/>
  <c r="N15" i="2"/>
  <c r="O41" i="2"/>
  <c r="N39" i="2"/>
  <c r="N21" i="2"/>
  <c r="Q16" i="2"/>
  <c r="O28" i="2"/>
  <c r="O24" i="2"/>
  <c r="O20" i="2"/>
  <c r="O34" i="2"/>
  <c r="N32" i="2"/>
  <c r="O22" i="2"/>
  <c r="O32" i="2"/>
  <c r="S37" i="2"/>
  <c r="O39" i="2"/>
  <c r="O16" i="2"/>
  <c r="O37" i="2"/>
  <c r="S35" i="2"/>
  <c r="S18" i="2"/>
  <c r="O40" i="2"/>
  <c r="O19" i="2"/>
  <c r="N20" i="2"/>
  <c r="N23" i="2"/>
  <c r="O36" i="2"/>
  <c r="Q20" i="2"/>
  <c r="Q42" i="2"/>
  <c r="S34" i="2"/>
  <c r="Q25" i="2"/>
  <c r="S39" i="2"/>
  <c r="O33" i="2"/>
  <c r="O23" i="2"/>
  <c r="S28" i="2"/>
  <c r="N25" i="2"/>
  <c r="Q15" i="2"/>
  <c r="S29" i="2"/>
  <c r="O35" i="2"/>
  <c r="O30" i="2"/>
  <c r="O27" i="2"/>
  <c r="O31" i="2"/>
  <c r="S32" i="2"/>
  <c r="S23" i="2"/>
  <c r="S42" i="2"/>
  <c r="S16" i="2"/>
  <c r="S41" i="2"/>
  <c r="Q39" i="2"/>
  <c r="N38" i="2"/>
  <c r="Q29" i="2"/>
  <c r="Q37" i="2"/>
  <c r="N35" i="2"/>
  <c r="S25" i="2"/>
  <c r="Q30" i="2"/>
  <c r="Q34" i="2"/>
  <c r="Q24" i="2"/>
  <c r="N41" i="2"/>
  <c r="S38" i="2"/>
  <c r="Q21" i="2"/>
  <c r="Q41" i="2"/>
  <c r="S33" i="2"/>
  <c r="N37" i="2"/>
  <c r="O38" i="2"/>
  <c r="Q26" i="2"/>
  <c r="N22" i="2"/>
  <c r="Q17" i="2"/>
  <c r="Q19" i="2"/>
  <c r="Q36" i="2"/>
  <c r="S27" i="2"/>
  <c r="S30" i="2"/>
  <c r="N34" i="2"/>
  <c r="S24" i="2"/>
  <c r="S21" i="2"/>
  <c r="O15" i="2"/>
  <c r="O26" i="2"/>
  <c r="O42" i="2"/>
  <c r="O29" i="2"/>
  <c r="N33" i="2"/>
  <c r="O18" i="2"/>
  <c r="O21" i="2"/>
  <c r="Q28" i="2"/>
  <c r="N26" i="2"/>
  <c r="Q22" i="2"/>
  <c r="S17" i="2"/>
  <c r="S19" i="2"/>
  <c r="N31" i="2"/>
  <c r="N27" i="2"/>
  <c r="N24" i="2"/>
  <c r="N40" i="2"/>
  <c r="N18" i="2"/>
  <c r="N19" i="2"/>
  <c r="Q31" i="2"/>
  <c r="S36" i="2"/>
  <c r="Q27" i="2"/>
  <c r="N16" i="2"/>
  <c r="S40" i="2"/>
  <c r="S15" i="2"/>
  <c r="O17" i="2"/>
  <c r="S43" i="2" l="1"/>
  <c r="H46" i="2" s="1"/>
  <c r="H1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Sira Argia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Sira Argia:</t>
        </r>
        <r>
          <rPr>
            <sz val="9"/>
            <color indexed="81"/>
            <rFont val="Tahoma"/>
            <family val="2"/>
          </rPr>
          <t xml:space="preserve">
Kosongkan bila bukan surat tugas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Sira Argia</author>
  </authors>
  <commentList>
    <comment ref="E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Sira Argia:</t>
        </r>
        <r>
          <rPr>
            <sz val="9"/>
            <color indexed="81"/>
            <rFont val="Tahoma"/>
            <family val="2"/>
          </rPr>
          <t xml:space="preserve">
Nomor Surat Sesuaikan sendiri, tulis tangan</t>
        </r>
      </text>
    </comment>
  </commentList>
</comments>
</file>

<file path=xl/sharedStrings.xml><?xml version="1.0" encoding="utf-8"?>
<sst xmlns="http://schemas.openxmlformats.org/spreadsheetml/2006/main" count="1219" uniqueCount="743">
  <si>
    <t>TANGGAL</t>
  </si>
  <si>
    <t>KODE KEGIATAN</t>
  </si>
  <si>
    <t>KODE REKENING</t>
  </si>
  <si>
    <t>NO. BUKTI</t>
  </si>
  <si>
    <t>URAIAN</t>
  </si>
  <si>
    <t>PENGELUARAN</t>
  </si>
  <si>
    <t>BPU01</t>
  </si>
  <si>
    <t>BPU02</t>
  </si>
  <si>
    <t>BPU03</t>
  </si>
  <si>
    <t>BPU04</t>
  </si>
  <si>
    <t>BPU05</t>
  </si>
  <si>
    <t>BPU06</t>
  </si>
  <si>
    <t>BPU07</t>
  </si>
  <si>
    <t>BPU08</t>
  </si>
  <si>
    <t>BPU10</t>
  </si>
  <si>
    <t>BPU11</t>
  </si>
  <si>
    <t>BPU14</t>
  </si>
  <si>
    <t>BPU15</t>
  </si>
  <si>
    <t>BPU16</t>
  </si>
  <si>
    <t>BPU17</t>
  </si>
  <si>
    <t>BPU18</t>
  </si>
  <si>
    <t>BPU19</t>
  </si>
  <si>
    <t>BPU20</t>
  </si>
  <si>
    <t>BPU21</t>
  </si>
  <si>
    <t>BPU22</t>
  </si>
  <si>
    <t>BPU23</t>
  </si>
  <si>
    <t>BPU24</t>
  </si>
  <si>
    <t>BPU25</t>
  </si>
  <si>
    <t>BPU26</t>
  </si>
  <si>
    <t>BPU27</t>
  </si>
  <si>
    <t>BPU28</t>
  </si>
  <si>
    <t>BPU29</t>
  </si>
  <si>
    <t>BPU30</t>
  </si>
  <si>
    <t>BPU31</t>
  </si>
  <si>
    <t>BPU32</t>
  </si>
  <si>
    <t>BPU33</t>
  </si>
  <si>
    <t>BPU34</t>
  </si>
  <si>
    <t>BPU35</t>
  </si>
  <si>
    <t>BPU36</t>
  </si>
  <si>
    <t>BPU37</t>
  </si>
  <si>
    <t>BPU38</t>
  </si>
  <si>
    <t>BPU39</t>
  </si>
  <si>
    <t>BPU40</t>
  </si>
  <si>
    <t>BPU41</t>
  </si>
  <si>
    <t>BPU42</t>
  </si>
  <si>
    <t>BPU43</t>
  </si>
  <si>
    <t>BPU44</t>
  </si>
  <si>
    <t>Tahun Anggaran</t>
  </si>
  <si>
    <t>Kode Kegiatan</t>
  </si>
  <si>
    <t>Kode Rekening</t>
  </si>
  <si>
    <t>Sudah diterima dari</t>
  </si>
  <si>
    <t>Uang sejumlah</t>
  </si>
  <si>
    <t>Untuk pembayaran</t>
  </si>
  <si>
    <t>Dibebankan pada</t>
  </si>
  <si>
    <t>Jumlah</t>
  </si>
  <si>
    <t>:</t>
  </si>
  <si>
    <t>SETUJU DIBAYAR OLEH</t>
  </si>
  <si>
    <t>KEPALA SEKOLAH</t>
  </si>
  <si>
    <t>LUNAS DIBAYAR</t>
  </si>
  <si>
    <t>BENDAHARA BOS</t>
  </si>
  <si>
    <t>YANG MENERIMA</t>
  </si>
  <si>
    <t>BPU341</t>
  </si>
  <si>
    <t>BPU09</t>
  </si>
  <si>
    <t>BPU12</t>
  </si>
  <si>
    <t>BPU13</t>
  </si>
  <si>
    <t>BPU45</t>
  </si>
  <si>
    <t>BPU46</t>
  </si>
  <si>
    <t>BPU47</t>
  </si>
  <si>
    <t>BPU48</t>
  </si>
  <si>
    <t>BPU49</t>
  </si>
  <si>
    <t>BPU50</t>
  </si>
  <si>
    <t>BPU51</t>
  </si>
  <si>
    <t>BPU52</t>
  </si>
  <si>
    <t>BPU53</t>
  </si>
  <si>
    <t>BPU54</t>
  </si>
  <si>
    <t>BPU55</t>
  </si>
  <si>
    <t>BPU56</t>
  </si>
  <si>
    <t>BPU57</t>
  </si>
  <si>
    <t>BPU58</t>
  </si>
  <si>
    <t>BPU59</t>
  </si>
  <si>
    <t>BPU60</t>
  </si>
  <si>
    <t>BPU61</t>
  </si>
  <si>
    <t>BPU62</t>
  </si>
  <si>
    <t>BPU63</t>
  </si>
  <si>
    <t>BPU64</t>
  </si>
  <si>
    <t>BPU65</t>
  </si>
  <si>
    <t>BPU66</t>
  </si>
  <si>
    <t>BPU67</t>
  </si>
  <si>
    <t>BPU68</t>
  </si>
  <si>
    <t>BPU69</t>
  </si>
  <si>
    <t>BPU70</t>
  </si>
  <si>
    <t>BPU71</t>
  </si>
  <si>
    <t>BPU72</t>
  </si>
  <si>
    <t>BPU73</t>
  </si>
  <si>
    <t>BPU74</t>
  </si>
  <si>
    <t>BPU75</t>
  </si>
  <si>
    <t>BPU76</t>
  </si>
  <si>
    <t>BPU77</t>
  </si>
  <si>
    <t>BPU78</t>
  </si>
  <si>
    <t>BPU79</t>
  </si>
  <si>
    <t>BPU80</t>
  </si>
  <si>
    <t>BPU81</t>
  </si>
  <si>
    <t>BPU82</t>
  </si>
  <si>
    <t>BPU83</t>
  </si>
  <si>
    <t>BPU84</t>
  </si>
  <si>
    <t>BPU85</t>
  </si>
  <si>
    <t>BPU86</t>
  </si>
  <si>
    <t>BPU87</t>
  </si>
  <si>
    <t>BPU88</t>
  </si>
  <si>
    <t>BPU89</t>
  </si>
  <si>
    <t>BPU90</t>
  </si>
  <si>
    <t>BPU91</t>
  </si>
  <si>
    <t>BPU92</t>
  </si>
  <si>
    <t>BPU93</t>
  </si>
  <si>
    <t>BPU94</t>
  </si>
  <si>
    <t>BPU95</t>
  </si>
  <si>
    <t>BPU96</t>
  </si>
  <si>
    <t>BPU97</t>
  </si>
  <si>
    <t>BPU98</t>
  </si>
  <si>
    <t>BPU99</t>
  </si>
  <si>
    <t>BPU100</t>
  </si>
  <si>
    <t>BPU101</t>
  </si>
  <si>
    <t>BPU102</t>
  </si>
  <si>
    <t>BPU103</t>
  </si>
  <si>
    <t>BPU104</t>
  </si>
  <si>
    <t>BPU105</t>
  </si>
  <si>
    <t>BPU106</t>
  </si>
  <si>
    <t>BPU107</t>
  </si>
  <si>
    <t>BPU108</t>
  </si>
  <si>
    <t>BPU109</t>
  </si>
  <si>
    <t>BPU110</t>
  </si>
  <si>
    <t>BPU111</t>
  </si>
  <si>
    <t>BPU112</t>
  </si>
  <si>
    <t>BPU113</t>
  </si>
  <si>
    <t>BPU114</t>
  </si>
  <si>
    <t>BPU115</t>
  </si>
  <si>
    <t>BPU116</t>
  </si>
  <si>
    <t>BPU117</t>
  </si>
  <si>
    <t>BPU118</t>
  </si>
  <si>
    <t>BPU119</t>
  </si>
  <si>
    <t>BPU120</t>
  </si>
  <si>
    <t>BPU121</t>
  </si>
  <si>
    <t>BPU122</t>
  </si>
  <si>
    <t>BPU123</t>
  </si>
  <si>
    <t>BPU124</t>
  </si>
  <si>
    <t>BPU125</t>
  </si>
  <si>
    <t>BPU126</t>
  </si>
  <si>
    <t>BPU127</t>
  </si>
  <si>
    <t>BPU128</t>
  </si>
  <si>
    <t>BPU129</t>
  </si>
  <si>
    <t>BPU130</t>
  </si>
  <si>
    <t>BPU131</t>
  </si>
  <si>
    <t>BPU132</t>
  </si>
  <si>
    <t>BPU133</t>
  </si>
  <si>
    <t>BPU134</t>
  </si>
  <si>
    <t>BPU135</t>
  </si>
  <si>
    <t>BPU136</t>
  </si>
  <si>
    <t>BPU137</t>
  </si>
  <si>
    <t>BPU138</t>
  </si>
  <si>
    <t>BPU139</t>
  </si>
  <si>
    <t>BPU140</t>
  </si>
  <si>
    <t>BPU141</t>
  </si>
  <si>
    <t>BPU142</t>
  </si>
  <si>
    <t>BPU143</t>
  </si>
  <si>
    <t>BPU144</t>
  </si>
  <si>
    <t>BPU145</t>
  </si>
  <si>
    <t>BPU146</t>
  </si>
  <si>
    <t>BPU147</t>
  </si>
  <si>
    <t>BPU148</t>
  </si>
  <si>
    <t>BPU149</t>
  </si>
  <si>
    <t>BPU150</t>
  </si>
  <si>
    <t>BPU151</t>
  </si>
  <si>
    <t>BPU152</t>
  </si>
  <si>
    <t>BPU153</t>
  </si>
  <si>
    <t>BPU154</t>
  </si>
  <si>
    <t>BPU155</t>
  </si>
  <si>
    <t>BPU156</t>
  </si>
  <si>
    <t>BPU157</t>
  </si>
  <si>
    <t>BPU158</t>
  </si>
  <si>
    <t>BPU159</t>
  </si>
  <si>
    <t>BPU160</t>
  </si>
  <si>
    <t>BPU161</t>
  </si>
  <si>
    <t>BPU162</t>
  </si>
  <si>
    <t>BPU163</t>
  </si>
  <si>
    <t>BPU164</t>
  </si>
  <si>
    <t>BPU165</t>
  </si>
  <si>
    <t>BPU166</t>
  </si>
  <si>
    <t>BPU167</t>
  </si>
  <si>
    <t>BPU168</t>
  </si>
  <si>
    <t>BPU169</t>
  </si>
  <si>
    <t>BPU170</t>
  </si>
  <si>
    <t>BPU171</t>
  </si>
  <si>
    <t>BPU172</t>
  </si>
  <si>
    <t>BPU173</t>
  </si>
  <si>
    <t>BPU174</t>
  </si>
  <si>
    <t>BPU175</t>
  </si>
  <si>
    <t>BPU176</t>
  </si>
  <si>
    <t>BPU177</t>
  </si>
  <si>
    <t>BPU178</t>
  </si>
  <si>
    <t>BPU179</t>
  </si>
  <si>
    <t>BPU180</t>
  </si>
  <si>
    <t>BPU181</t>
  </si>
  <si>
    <t>BPU182</t>
  </si>
  <si>
    <t>BPU183</t>
  </si>
  <si>
    <t>BPU184</t>
  </si>
  <si>
    <t>BPU185</t>
  </si>
  <si>
    <t>BPU186</t>
  </si>
  <si>
    <t>BPU187</t>
  </si>
  <si>
    <t>BPU188</t>
  </si>
  <si>
    <t>BPU189</t>
  </si>
  <si>
    <t>BPU190</t>
  </si>
  <si>
    <t>BPU191</t>
  </si>
  <si>
    <t>BPU192</t>
  </si>
  <si>
    <t>BPU193</t>
  </si>
  <si>
    <t>BPU194</t>
  </si>
  <si>
    <t>BPU195</t>
  </si>
  <si>
    <t>BPU196</t>
  </si>
  <si>
    <t>BPU197</t>
  </si>
  <si>
    <t>BPU198</t>
  </si>
  <si>
    <t>BPU199</t>
  </si>
  <si>
    <t>BPU200</t>
  </si>
  <si>
    <t>BPU201</t>
  </si>
  <si>
    <t>BPU202</t>
  </si>
  <si>
    <t>BPU203</t>
  </si>
  <si>
    <t>BPU204</t>
  </si>
  <si>
    <t>BPU205</t>
  </si>
  <si>
    <t>BPU206</t>
  </si>
  <si>
    <t>BPU207</t>
  </si>
  <si>
    <t>BPU208</t>
  </si>
  <si>
    <t>BPU209</t>
  </si>
  <si>
    <t>BPU210</t>
  </si>
  <si>
    <t>BPU211</t>
  </si>
  <si>
    <t>BPU212</t>
  </si>
  <si>
    <t>BPU213</t>
  </si>
  <si>
    <t>BPU214</t>
  </si>
  <si>
    <t>BPU215</t>
  </si>
  <si>
    <t>BPU216</t>
  </si>
  <si>
    <t>BPU217</t>
  </si>
  <si>
    <t>BPU218</t>
  </si>
  <si>
    <t>BPU219</t>
  </si>
  <si>
    <t>BPU220</t>
  </si>
  <si>
    <t>BPU221</t>
  </si>
  <si>
    <t>BPU222</t>
  </si>
  <si>
    <t>BPU223</t>
  </si>
  <si>
    <t>BPU224</t>
  </si>
  <si>
    <t>BPU225</t>
  </si>
  <si>
    <t>BPU226</t>
  </si>
  <si>
    <t>BPU227</t>
  </si>
  <si>
    <t>BPU228</t>
  </si>
  <si>
    <t>BPU229</t>
  </si>
  <si>
    <t>BPU230</t>
  </si>
  <si>
    <t>BPU231</t>
  </si>
  <si>
    <t>BPU232</t>
  </si>
  <si>
    <t>BPU233</t>
  </si>
  <si>
    <t>BPU234</t>
  </si>
  <si>
    <t>BPU235</t>
  </si>
  <si>
    <t>BPU236</t>
  </si>
  <si>
    <t>BPU237</t>
  </si>
  <si>
    <t>BPU238</t>
  </si>
  <si>
    <t>BPU239</t>
  </si>
  <si>
    <t>BPU240</t>
  </si>
  <si>
    <t>BPU241</t>
  </si>
  <si>
    <t>BPU242</t>
  </si>
  <si>
    <t>BPU243</t>
  </si>
  <si>
    <t>BPU244</t>
  </si>
  <si>
    <t>BPU245</t>
  </si>
  <si>
    <t>BPU246</t>
  </si>
  <si>
    <t>BPU247</t>
  </si>
  <si>
    <t>BPU248</t>
  </si>
  <si>
    <t>BPU249</t>
  </si>
  <si>
    <t>BPU250</t>
  </si>
  <si>
    <t>BPU251</t>
  </si>
  <si>
    <t>BPU252</t>
  </si>
  <si>
    <t>BPU253</t>
  </si>
  <si>
    <t>BPU254</t>
  </si>
  <si>
    <t>BPU255</t>
  </si>
  <si>
    <t>BPU256</t>
  </si>
  <si>
    <t>BPU257</t>
  </si>
  <si>
    <t>BPU258</t>
  </si>
  <si>
    <t>BPU259</t>
  </si>
  <si>
    <t>BPU260</t>
  </si>
  <si>
    <t>BPU261</t>
  </si>
  <si>
    <t>BPU262</t>
  </si>
  <si>
    <t>BPU263</t>
  </si>
  <si>
    <t>BPU264</t>
  </si>
  <si>
    <t>BPU265</t>
  </si>
  <si>
    <t>BPU266</t>
  </si>
  <si>
    <t>BPU267</t>
  </si>
  <si>
    <t>BPU268</t>
  </si>
  <si>
    <t>BPU269</t>
  </si>
  <si>
    <t>BPU270</t>
  </si>
  <si>
    <t>BPU271</t>
  </si>
  <si>
    <t>BPU272</t>
  </si>
  <si>
    <t>BPU273</t>
  </si>
  <si>
    <t>BPU274</t>
  </si>
  <si>
    <t>BPU275</t>
  </si>
  <si>
    <t>BPU276</t>
  </si>
  <si>
    <t>BPU277</t>
  </si>
  <si>
    <t>BPU278</t>
  </si>
  <si>
    <t>BPU279</t>
  </si>
  <si>
    <t>BPU280</t>
  </si>
  <si>
    <t>BPU281</t>
  </si>
  <si>
    <t>BPU282</t>
  </si>
  <si>
    <t>BPU283</t>
  </si>
  <si>
    <t>BPU284</t>
  </si>
  <si>
    <t>BPU285</t>
  </si>
  <si>
    <t>BPU286</t>
  </si>
  <si>
    <t>BPU287</t>
  </si>
  <si>
    <t>BPU288</t>
  </si>
  <si>
    <t>BPU289</t>
  </si>
  <si>
    <t>BPU290</t>
  </si>
  <si>
    <t>BPU291</t>
  </si>
  <si>
    <t>BPU292</t>
  </si>
  <si>
    <t>BPU293</t>
  </si>
  <si>
    <t>BPU294</t>
  </si>
  <si>
    <t>BPU295</t>
  </si>
  <si>
    <t>BPU296</t>
  </si>
  <si>
    <t>BPU297</t>
  </si>
  <si>
    <t>BPU298</t>
  </si>
  <si>
    <t>BPU299</t>
  </si>
  <si>
    <t>BPU300</t>
  </si>
  <si>
    <t>BPU301</t>
  </si>
  <si>
    <t>BPU302</t>
  </si>
  <si>
    <t>BPU303</t>
  </si>
  <si>
    <t>BPU304</t>
  </si>
  <si>
    <t>BPU305</t>
  </si>
  <si>
    <t>BPU306</t>
  </si>
  <si>
    <t>BPU307</t>
  </si>
  <si>
    <t>BPU308</t>
  </si>
  <si>
    <t>BPU309</t>
  </si>
  <si>
    <t>BPU310</t>
  </si>
  <si>
    <t>BPU311</t>
  </si>
  <si>
    <t>BPU312</t>
  </si>
  <si>
    <t>BPU313</t>
  </si>
  <si>
    <t>BPU314</t>
  </si>
  <si>
    <t>BPU315</t>
  </si>
  <si>
    <t>BPU316</t>
  </si>
  <si>
    <t>BPU317</t>
  </si>
  <si>
    <t>BPU318</t>
  </si>
  <si>
    <t>BPU319</t>
  </si>
  <si>
    <t>BPU320</t>
  </si>
  <si>
    <t>BPU321</t>
  </si>
  <si>
    <t>BPU322</t>
  </si>
  <si>
    <t>BPU323</t>
  </si>
  <si>
    <t>BPU324</t>
  </si>
  <si>
    <t>BPU325</t>
  </si>
  <si>
    <t>BPU326</t>
  </si>
  <si>
    <t>BPU327</t>
  </si>
  <si>
    <t>BPU328</t>
  </si>
  <si>
    <t>BPU329</t>
  </si>
  <si>
    <t>BPU330</t>
  </si>
  <si>
    <t>BPU331</t>
  </si>
  <si>
    <t>BPU332</t>
  </si>
  <si>
    <t>BPU333</t>
  </si>
  <si>
    <t>BPU334</t>
  </si>
  <si>
    <t>BPU335</t>
  </si>
  <si>
    <t>BPU336</t>
  </si>
  <si>
    <t>BPU337</t>
  </si>
  <si>
    <t>BPU338</t>
  </si>
  <si>
    <t>BPU339</t>
  </si>
  <si>
    <t>BPU340</t>
  </si>
  <si>
    <t>BPU342</t>
  </si>
  <si>
    <t>BPU343</t>
  </si>
  <si>
    <t>BPU344</t>
  </si>
  <si>
    <t>BPU345</t>
  </si>
  <si>
    <t>BPU346</t>
  </si>
  <si>
    <t>BPU347</t>
  </si>
  <si>
    <t>BPU348</t>
  </si>
  <si>
    <t>BPU349</t>
  </si>
  <si>
    <t>BPU350</t>
  </si>
  <si>
    <t>BPU351</t>
  </si>
  <si>
    <t>BPU352</t>
  </si>
  <si>
    <t>BPU353</t>
  </si>
  <si>
    <t>BPU354</t>
  </si>
  <si>
    <t>BPU355</t>
  </si>
  <si>
    <t>BPU356</t>
  </si>
  <si>
    <t>BPU357</t>
  </si>
  <si>
    <t>BPU358</t>
  </si>
  <si>
    <t>BPU359</t>
  </si>
  <si>
    <t>BPU360</t>
  </si>
  <si>
    <t>BPU361</t>
  </si>
  <si>
    <t>BPU362</t>
  </si>
  <si>
    <t>BPU363</t>
  </si>
  <si>
    <t>BPU364</t>
  </si>
  <si>
    <t>BPU365</t>
  </si>
  <si>
    <t>BPU366</t>
  </si>
  <si>
    <t>BPU367</t>
  </si>
  <si>
    <t>BPU368</t>
  </si>
  <si>
    <t>BPU369</t>
  </si>
  <si>
    <t>BPU370</t>
  </si>
  <si>
    <t>BPU371</t>
  </si>
  <si>
    <t>BPU372</t>
  </si>
  <si>
    <t>BPU373</t>
  </si>
  <si>
    <t>BPU374</t>
  </si>
  <si>
    <t>BPU375</t>
  </si>
  <si>
    <t>BPU376</t>
  </si>
  <si>
    <t>BPU377</t>
  </si>
  <si>
    <t>BPU378</t>
  </si>
  <si>
    <t>BPU379</t>
  </si>
  <si>
    <t>BPU380</t>
  </si>
  <si>
    <t>BPU381</t>
  </si>
  <si>
    <t>BPU382</t>
  </si>
  <si>
    <t>BPU383</t>
  </si>
  <si>
    <t>BPU384</t>
  </si>
  <si>
    <t>BPU385</t>
  </si>
  <si>
    <t>BPU386</t>
  </si>
  <si>
    <t>BPU387</t>
  </si>
  <si>
    <t>BPU388</t>
  </si>
  <si>
    <t>BPU389</t>
  </si>
  <si>
    <t>BPU390</t>
  </si>
  <si>
    <t>BPU391</t>
  </si>
  <si>
    <t>BPU392</t>
  </si>
  <si>
    <t>BPU393</t>
  </si>
  <si>
    <t>BPU394</t>
  </si>
  <si>
    <t>BPU395</t>
  </si>
  <si>
    <t>BPU396</t>
  </si>
  <si>
    <t>BPU397</t>
  </si>
  <si>
    <t>BPU398</t>
  </si>
  <si>
    <t>BPU399</t>
  </si>
  <si>
    <t>BPU400</t>
  </si>
  <si>
    <t>BPU401</t>
  </si>
  <si>
    <t>BPU402</t>
  </si>
  <si>
    <t>BPU403</t>
  </si>
  <si>
    <t>BPU404</t>
  </si>
  <si>
    <t>BPU405</t>
  </si>
  <si>
    <t>BPU406</t>
  </si>
  <si>
    <t>BPU407</t>
  </si>
  <si>
    <t>BPU408</t>
  </si>
  <si>
    <t>BPU409</t>
  </si>
  <si>
    <t>BPU410</t>
  </si>
  <si>
    <t>BPU411</t>
  </si>
  <si>
    <t>BPU412</t>
  </si>
  <si>
    <t>BPU413</t>
  </si>
  <si>
    <t>BPU414</t>
  </si>
  <si>
    <t>BPU415</t>
  </si>
  <si>
    <t>BPU416</t>
  </si>
  <si>
    <t>BPU417</t>
  </si>
  <si>
    <t>BPU418</t>
  </si>
  <si>
    <t>BPU419</t>
  </si>
  <si>
    <t>BPU420</t>
  </si>
  <si>
    <t>BPU421</t>
  </si>
  <si>
    <t>BPU422</t>
  </si>
  <si>
    <t>BPU423</t>
  </si>
  <si>
    <t>BPU424</t>
  </si>
  <si>
    <t>BPU425</t>
  </si>
  <si>
    <t>BPU426</t>
  </si>
  <si>
    <t>BPU427</t>
  </si>
  <si>
    <t>BPU428</t>
  </si>
  <si>
    <t>BPU429</t>
  </si>
  <si>
    <t>BPU430</t>
  </si>
  <si>
    <t>BPU431</t>
  </si>
  <si>
    <t>BPU432</t>
  </si>
  <si>
    <t>BPU433</t>
  </si>
  <si>
    <t>BPU434</t>
  </si>
  <si>
    <t>BPU435</t>
  </si>
  <si>
    <t>BPU436</t>
  </si>
  <si>
    <t>BPU437</t>
  </si>
  <si>
    <t>BPU438</t>
  </si>
  <si>
    <t>BPU439</t>
  </si>
  <si>
    <t>BPU440</t>
  </si>
  <si>
    <t>BPU441</t>
  </si>
  <si>
    <t>BPU442</t>
  </si>
  <si>
    <t>BPU443</t>
  </si>
  <si>
    <t>BPU444</t>
  </si>
  <si>
    <t>BPU445</t>
  </si>
  <si>
    <t>BPU446</t>
  </si>
  <si>
    <t>BPU447</t>
  </si>
  <si>
    <t>BPU448</t>
  </si>
  <si>
    <t>BPU449</t>
  </si>
  <si>
    <t>BPU450</t>
  </si>
  <si>
    <t>BPU451</t>
  </si>
  <si>
    <t>BPU452</t>
  </si>
  <si>
    <t>BPU453</t>
  </si>
  <si>
    <t>BPU454</t>
  </si>
  <si>
    <t>BPU455</t>
  </si>
  <si>
    <t>BPU456</t>
  </si>
  <si>
    <t>BPU457</t>
  </si>
  <si>
    <t>BPU458</t>
  </si>
  <si>
    <t>BPU459</t>
  </si>
  <si>
    <t>BPU460</t>
  </si>
  <si>
    <t>BPU461</t>
  </si>
  <si>
    <t>BPU462</t>
  </si>
  <si>
    <t>BPU463</t>
  </si>
  <si>
    <t>BPU464</t>
  </si>
  <si>
    <t>BPU465</t>
  </si>
  <si>
    <t>BPU466</t>
  </si>
  <si>
    <t>BPU467</t>
  </si>
  <si>
    <t>BPU468</t>
  </si>
  <si>
    <t>BPU469</t>
  </si>
  <si>
    <t>BPU470</t>
  </si>
  <si>
    <t>BPU471</t>
  </si>
  <si>
    <t>BPU472</t>
  </si>
  <si>
    <t>BPU473</t>
  </si>
  <si>
    <t>BPU474</t>
  </si>
  <si>
    <t>BPU475</t>
  </si>
  <si>
    <t>BPU476</t>
  </si>
  <si>
    <t>BPU477</t>
  </si>
  <si>
    <t>BPU478</t>
  </si>
  <si>
    <t>BPU479</t>
  </si>
  <si>
    <t>BPU480</t>
  </si>
  <si>
    <t>BPU481</t>
  </si>
  <si>
    <t>BPU482</t>
  </si>
  <si>
    <t>BPU483</t>
  </si>
  <si>
    <t>BPU484</t>
  </si>
  <si>
    <t>BPU485</t>
  </si>
  <si>
    <t>BPU486</t>
  </si>
  <si>
    <t>BPU487</t>
  </si>
  <si>
    <t>BPU488</t>
  </si>
  <si>
    <t>BPU489</t>
  </si>
  <si>
    <t>BPU490</t>
  </si>
  <si>
    <t>BPU491</t>
  </si>
  <si>
    <t>BPU492</t>
  </si>
  <si>
    <t>BPU493</t>
  </si>
  <si>
    <t>BPU494</t>
  </si>
  <si>
    <t>BPU495</t>
  </si>
  <si>
    <t>BPU496</t>
  </si>
  <si>
    <t>BPU497</t>
  </si>
  <si>
    <t>BPU498</t>
  </si>
  <si>
    <t>BPU499</t>
  </si>
  <si>
    <t>BPU500</t>
  </si>
  <si>
    <t>NO</t>
  </si>
  <si>
    <t>NAMA SEKOLAH</t>
  </si>
  <si>
    <t>NAMA KEPALA SEKOLAH</t>
  </si>
  <si>
    <t>NIP KEPALA SEKOLAH</t>
  </si>
  <si>
    <t>NAMA BENDAHARA</t>
  </si>
  <si>
    <t>NIP BENDAHARA</t>
  </si>
  <si>
    <t>TAHUN</t>
  </si>
  <si>
    <t>SUMBER DANA</t>
  </si>
  <si>
    <t>TEMPAT (UTK TANGGAL NOTA)</t>
  </si>
  <si>
    <t>@</t>
  </si>
  <si>
    <t>SATUAN</t>
  </si>
  <si>
    <t>HARGA</t>
  </si>
  <si>
    <t>VOLUME</t>
  </si>
  <si>
    <t>=</t>
  </si>
  <si>
    <t>UNTUK PEMBAYARAN (KETERANGAN DI NOTA)</t>
  </si>
  <si>
    <t>DAFTAR HADIR DAN PENERIMAAN UPAH KERJA</t>
  </si>
  <si>
    <t>PEKERJAAN</t>
  </si>
  <si>
    <t>LOKASI</t>
  </si>
  <si>
    <t>NAMA</t>
  </si>
  <si>
    <t>PROFESI</t>
  </si>
  <si>
    <t>HARI KERJA</t>
  </si>
  <si>
    <t>SENIN</t>
  </si>
  <si>
    <t>SELASA</t>
  </si>
  <si>
    <t>RABU</t>
  </si>
  <si>
    <t>KAMIS</t>
  </si>
  <si>
    <t>JUMAT</t>
  </si>
  <si>
    <t>JUMLAH HARI KERJA</t>
  </si>
  <si>
    <t>HARGA SATUAN</t>
  </si>
  <si>
    <t>JUMLAH YANG DITERIMA</t>
  </si>
  <si>
    <t>TANDA TANGAN</t>
  </si>
  <si>
    <t>JUMLAH</t>
  </si>
  <si>
    <t>Periji,</t>
  </si>
  <si>
    <t>BENDAHARA SEKOLAH</t>
  </si>
  <si>
    <t>KEGIATAN</t>
  </si>
  <si>
    <t>TANGGAL KEGIATAN</t>
  </si>
  <si>
    <t>JABATAN</t>
  </si>
  <si>
    <t>TOTAL</t>
  </si>
  <si>
    <t>YG INI MANUAL AJA YA :)</t>
  </si>
  <si>
    <t>CAPEK DEHH</t>
  </si>
  <si>
    <t>Sungai Merah</t>
  </si>
  <si>
    <t>Kepala Sekolah</t>
  </si>
  <si>
    <t>Selalu klik tombol PROSES sebelum print</t>
  </si>
  <si>
    <t>Guru Kelas</t>
  </si>
  <si>
    <t>Guru Olahraga</t>
  </si>
  <si>
    <t>DAFTAR HADIR</t>
  </si>
  <si>
    <t>Hari/tanggal</t>
  </si>
  <si>
    <t>Kegiatan</t>
  </si>
  <si>
    <t>No</t>
  </si>
  <si>
    <t>Nama</t>
  </si>
  <si>
    <t>Jabatan</t>
  </si>
  <si>
    <t>Tanda tangan</t>
  </si>
  <si>
    <t>Guru Agama Katolik</t>
  </si>
  <si>
    <t>Plt. Kepala Sekolah</t>
  </si>
  <si>
    <t>07.12.01.</t>
  </si>
  <si>
    <t>Nomor BPU bisa diketik manual, untuk mencari BPU</t>
  </si>
  <si>
    <t>Pilih BPU dengan tombol panah, klik tombol PROSES</t>
  </si>
  <si>
    <t>APLIKASI INI FREE UNTUK MEMBANTU BENDAHARA (OPERATOR ARKAS) MENGERJAKAN KUITANSI</t>
  </si>
  <si>
    <t>TEMPAT PEMBAYARAN</t>
  </si>
  <si>
    <t>KODE LAMPIRAN</t>
  </si>
  <si>
    <t>NOTES:</t>
  </si>
  <si>
    <t>Jika ada kendala boleh hubungi saya di WA/Telegram 082280097805</t>
  </si>
  <si>
    <t>Jika ingin traktir saya secangkir kopi, boleh ke DANA 082280097805 😊</t>
  </si>
  <si>
    <t>KUITANSI PEMBAYARAN</t>
  </si>
  <si>
    <t>Nomor</t>
  </si>
  <si>
    <t>Nama Toko</t>
  </si>
  <si>
    <t>Alamat</t>
  </si>
  <si>
    <t>Nomor Telepon/HP</t>
  </si>
  <si>
    <t>end</t>
  </si>
  <si>
    <t>Pilih Nama Toko (jika ada)</t>
  </si>
  <si>
    <t>END</t>
  </si>
  <si>
    <t>Tanggal,</t>
  </si>
  <si>
    <t>Orang</t>
  </si>
  <si>
    <t>Kembayan</t>
  </si>
  <si>
    <t>Lembar</t>
  </si>
  <si>
    <t>Unit</t>
  </si>
  <si>
    <t>Bulan</t>
  </si>
  <si>
    <t>Hari</t>
  </si>
  <si>
    <t>Porsi</t>
  </si>
  <si>
    <t>Buah</t>
  </si>
  <si>
    <t>Pak</t>
  </si>
  <si>
    <t>kjk</t>
  </si>
  <si>
    <t>Alamat Sekolah</t>
  </si>
  <si>
    <t>Email Sekolah</t>
  </si>
  <si>
    <t>SURAT PERINTAH TUGAS</t>
  </si>
  <si>
    <t>DASAR SURAT UNDANGAN</t>
  </si>
  <si>
    <t>NIP</t>
  </si>
  <si>
    <t>MENUGASKAN</t>
  </si>
  <si>
    <t>Kepada:</t>
  </si>
  <si>
    <t>Nama guru</t>
  </si>
  <si>
    <t>Untuk:</t>
  </si>
  <si>
    <t>Yang bertandatangan di bawah ini kepala sekolah SD Negeri 17 Sungai Merah menugaskan:</t>
  </si>
  <si>
    <t>nama</t>
  </si>
  <si>
    <t>jabatan</t>
  </si>
  <si>
    <t>Bendahara BOSP</t>
  </si>
  <si>
    <t>unit kerja</t>
  </si>
  <si>
    <t>Nama Kegiatan</t>
  </si>
  <si>
    <t>Nama Barang</t>
  </si>
  <si>
    <t>Satuan</t>
  </si>
  <si>
    <t>Harga</t>
  </si>
  <si>
    <t>Volume</t>
  </si>
  <si>
    <t>Demikian surat ini dibuat agar dapat digunakan sebagaimana mestinya, atas kerja samanya kami ucapkan terima kasih.</t>
  </si>
  <si>
    <t>SURAT PERINTAH MEMBELI BARANG</t>
  </si>
  <si>
    <t>NAMA TRANSAKSI</t>
  </si>
  <si>
    <t>End</t>
  </si>
  <si>
    <t>Bendahara</t>
  </si>
  <si>
    <t>Tanggal</t>
  </si>
  <si>
    <t>Kegiatan (berdasarkan surat undangan)</t>
  </si>
  <si>
    <t>Demikian surat ini dibuat dengan sebenarnya agar dapat dipergunakan sebagaimana mestinya.</t>
  </si>
  <si>
    <t>Pembina VI/a</t>
  </si>
  <si>
    <t>DAFTAR PENERIMA</t>
  </si>
  <si>
    <t>Perihal Surat dan Nomor Surat Undangan</t>
  </si>
  <si>
    <t>NOMOR BUKTI</t>
  </si>
  <si>
    <t>NO BUKTI</t>
  </si>
  <si>
    <t>spmb tanggal pemesanan</t>
  </si>
  <si>
    <t>BOSP Tahap I</t>
  </si>
  <si>
    <t>Nopry T. Tampubolon</t>
  </si>
  <si>
    <t>Belanja jasa tenaga administrasi sekolah</t>
  </si>
  <si>
    <t>Upah petugas kebersihan</t>
  </si>
  <si>
    <t>Paket / Kuota Internet</t>
  </si>
  <si>
    <t>Belanja Perjalanan Dinas Dalam Kota (Ty.Hilir,Balai,Ty.Hulu,Meliau,Kembayan,Beduai, Sekayam,Entiong,Bonti)-Pejabat Pelaksana Golongan I : Uang Transportasi PP</t>
  </si>
  <si>
    <t>Belanja Perjalanan Dinas Dalam Kota (Ty.Hilir,Balai,Ty.Hulu,Meliau,Kembayan,Beduai, Sekayam,Entiong,Bonti)-Pejabat Pengawas / Pejabat Fungsional Ahli Muda / Pejabat Pelaksana Golongan IV : Uang Harian</t>
  </si>
  <si>
    <t>03.03.16.</t>
  </si>
  <si>
    <t>06.05.08.</t>
  </si>
  <si>
    <t>08.04.06.</t>
  </si>
  <si>
    <t>03.03.02.</t>
  </si>
  <si>
    <t>06.05.02.</t>
  </si>
  <si>
    <t>05.08.01.</t>
  </si>
  <si>
    <t>5.1.02.02.01
.0013</t>
  </si>
  <si>
    <t>5.1.02.01.01
.0026</t>
  </si>
  <si>
    <t>5.1.02.01.01
.0024</t>
  </si>
  <si>
    <t>5.1.02.04.01
.0003</t>
  </si>
  <si>
    <t>5.1.02.02.01
.0030</t>
  </si>
  <si>
    <t>5.1.02.01.01
.0052</t>
  </si>
  <si>
    <t>Saldo Tunai Bulan Maret 2024</t>
  </si>
  <si>
    <t>Tarik Tunai</t>
  </si>
  <si>
    <t>Foto Copy Filio dan Kuarto</t>
  </si>
  <si>
    <t>Penghapus Whiteboard besar GM</t>
  </si>
  <si>
    <t>Kertas HVS Folio</t>
  </si>
  <si>
    <t>Catridge Printer IP 2770 810 Hitam- IP 2770 810 Hitam</t>
  </si>
  <si>
    <t>Spidol Whiteboard Warna Hitam BG 12 Snowman</t>
  </si>
  <si>
    <t>Catridge Printer IP 2770 811 Warna- IP 2770 811 Warna</t>
  </si>
  <si>
    <t>Belanja Perjalanan Dinas Dalam Kota (Noyan,Jangkang,Toba)-Pejabat Fungsional Ahli Pertama / Pejabat Fungsional Terampil Penyelia / Pejabat Fungsional Terampil Pelaksana Lanjutan / Pejabat Pelaksana Golongan III : Uang Transportasi PP</t>
  </si>
  <si>
    <t>Belanja Jasa Tenaga Kebersihan-Gaji Tenaga Kontrak Masa Kerja 0 - 2 Tahun</t>
  </si>
  <si>
    <t>Makan Minum Rapat</t>
  </si>
  <si>
    <t>Saldo Tunai Bulan April 2024</t>
  </si>
  <si>
    <t>Dokumen Keeper, Clear
Sleeves, Map Clear holder A4 isi 20 DAICHI</t>
  </si>
  <si>
    <t>03.01.01.</t>
  </si>
  <si>
    <t>Saldo Tunai Bulan Mei 2024</t>
  </si>
  <si>
    <t>Spanduk</t>
  </si>
  <si>
    <t>Penggaris Kayu</t>
  </si>
  <si>
    <t>Fotocopy Laporan Sekolah</t>
  </si>
  <si>
    <t>Pembelian ATK</t>
  </si>
  <si>
    <t>pcs</t>
  </si>
  <si>
    <t>rim</t>
  </si>
  <si>
    <t>buah</t>
  </si>
  <si>
    <t>unit</t>
  </si>
  <si>
    <t>lembar</t>
  </si>
  <si>
    <t>Fotocopy soal TSSP</t>
  </si>
  <si>
    <t>Pembelian Spanduk PPDB</t>
  </si>
  <si>
    <t>Fotocopy laporan soal PAS</t>
  </si>
  <si>
    <t>Fotocopy soal ulangan PTS</t>
  </si>
  <si>
    <t>m3</t>
  </si>
  <si>
    <t>orang/kegiatan</t>
  </si>
  <si>
    <t>Periji</t>
  </si>
  <si>
    <t>Transport mengikuti kegiatan sosialisasi Ekinerja BKN</t>
  </si>
  <si>
    <t>Transport kegiatan Kombel KKG Gugus 2 Sungai Dangin bulan Januari</t>
  </si>
  <si>
    <t>Transport rapat KKKS pembahasan Ekinerja BKN</t>
  </si>
  <si>
    <t>Transport rapat KKKS pembahasan Ekinerja BKN lanjutan</t>
  </si>
  <si>
    <t>Pembayaran jasa tebas rumput lapangan sekolah bulan Januari - Maret</t>
  </si>
  <si>
    <t>Pembayaran jasa tebas rumput lapangan sekolah</t>
  </si>
  <si>
    <t>Konsumsi rapat Penyusunan Pembagian Tugas Guru dan Jadwal Pelajaran</t>
  </si>
  <si>
    <t>orang/bulan</t>
  </si>
  <si>
    <t>Transport rapat rutin KKKS</t>
  </si>
  <si>
    <t xml:space="preserve">Konsumsi rapat persiapan Pelaksanaan Pendaftaran Peserta Didik Baru (PPDB) </t>
  </si>
  <si>
    <t>Nomor: 422/….../SD.17/Adm/2024</t>
  </si>
  <si>
    <t>surat undangan rapat Korwil Noyan nomor: 420/76/Korwil-B</t>
  </si>
  <si>
    <t>Guru</t>
  </si>
  <si>
    <t>Rapat Koordinasi KKKS</t>
  </si>
  <si>
    <t>Transport rapat rutin KKKS 29 Mei</t>
  </si>
  <si>
    <t>surat undangan rapat Korwil Noyan nomor: 420/66/Korwil-08 tanggal 6 Mei 2024</t>
  </si>
  <si>
    <t>Honor</t>
  </si>
  <si>
    <t>: Menebas rumput lapangan sekolah</t>
  </si>
  <si>
    <t>Transport Rapat Rutin KKKS</t>
  </si>
  <si>
    <t>surat undangan rapat Kombel Gugus II Sungai Dangin nomor 422/12/SD.07/I/2024 tanggal 18 Januari 2024</t>
  </si>
  <si>
    <t>surat undangan rapat Kombel Gugus II Sungai Dangin nomor 422/12/SD.07/I/2024 tanggal 18 Januari 2025</t>
  </si>
  <si>
    <t>surat undangan rapat Kombel Gugus II Sungai Dangin nomor 422/12/SD.07/I/2024 tanggal 18 Januari 2026</t>
  </si>
  <si>
    <t>surat undangan rapat Kombel Gugus II Sungai Dangin nomor 422/12/SD.07/I/2024 tanggal 18 Januari 2027</t>
  </si>
  <si>
    <t>surat undangan rapat Kombel Gugus II Sungai Dangin nomor 422/12/SD.07/I/2024 tanggal 18 Januari 2028</t>
  </si>
  <si>
    <t>surat undangan rapat Kombel Gugus II Sungai Dangin nomor 422/12/SD.07/I/2024 tanggal 18 Januari 2029</t>
  </si>
  <si>
    <t>surat undangan rapat Kombel Gugus II Sungai Dangin nomor 422/12/SD.07/I/2024 tanggal 18 Januari 2030</t>
  </si>
  <si>
    <t>Undangan Rapat Kombel Gugus II Sungai Dangin</t>
  </si>
  <si>
    <t>SD Ninja 01 Konoha</t>
  </si>
  <si>
    <t>Shikamaru, S.Pd.</t>
  </si>
  <si>
    <t>Temari, S.Pd.</t>
  </si>
  <si>
    <t>012611</t>
  </si>
  <si>
    <t>53-004</t>
  </si>
  <si>
    <t>Desa Konohagakure, Negara Api. 666</t>
  </si>
  <si>
    <t>sdninja@konohagaku.re</t>
  </si>
  <si>
    <t>Tenten, S.Pd.</t>
  </si>
  <si>
    <t>Sakura, S.Pd.</t>
  </si>
  <si>
    <t>Kiba, S.Pd.</t>
  </si>
  <si>
    <t>Ichiraku Ramen</t>
  </si>
  <si>
    <t>009000</t>
  </si>
  <si>
    <t>Toko Senjata Tenten</t>
  </si>
  <si>
    <t>Jalan Ninja Nomor 1, Desa Konohagakure, Negara Api</t>
  </si>
  <si>
    <t>Jalan Ninja Nomor 2, Desa Konohagakure, Negara Api</t>
  </si>
  <si>
    <t>Toko Percetakan Choji</t>
  </si>
  <si>
    <t>006000</t>
  </si>
  <si>
    <t>005003</t>
  </si>
  <si>
    <t>Toko Hyuga</t>
  </si>
  <si>
    <t>002002</t>
  </si>
  <si>
    <t>Jalan Ninja Nomor 3, Desa Konohagakure, Negara Api</t>
  </si>
  <si>
    <t>Kantor Hokage</t>
  </si>
  <si>
    <t>Kantor Ninja Konoha</t>
  </si>
  <si>
    <t>Ninja Mahir</t>
  </si>
  <si>
    <t>Choji</t>
  </si>
  <si>
    <t>Kiba</t>
  </si>
  <si>
    <t>Periji, 17 November 2024</t>
  </si>
  <si>
    <t>KOORDINATOR WILAYAH KONOHAGAKURE</t>
  </si>
  <si>
    <t>PEMERINTAH NEGARA API</t>
  </si>
  <si>
    <t>DINAS KENINJAAN</t>
  </si>
  <si>
    <t>Dibuat oleh Aris Pratama, S.Pd.</t>
  </si>
  <si>
    <t>DILARANG DIPERJUALBELIKAN!!!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</si>
</sst>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Rp&quot;* #,##0_-;\-&quot;Rp&quot;* #,##0_-;_-&quot;Rp&quot;* &quot;-&quot;_-;_-@_-"/>
    <numFmt numFmtId="44" formatCode="_-&quot;Rp&quot;* #,##0.00_-;\-&quot;Rp&quot;* #,##0.00_-;_-&quot;Rp&quot;* &quot;-&quot;??_-;_-@_-"/>
    <numFmt numFmtId="164" formatCode="[$-421]dd\ mmmm\ yyyy;@"/>
    <numFmt numFmtId="165" formatCode="&quot;Rp&quot;#,##0.00"/>
    <numFmt numFmtId="166" formatCode="0;\-0;;@"/>
    <numFmt numFmtId="167" formatCode="_-&quot;Rp&quot;* #,##0.00_-;\-&quot;Rp&quot;* #,##0.00_-;_-&quot;Rp&quot;* &quot;-&quot;_-;_-@_-"/>
    <numFmt numFmtId="168" formatCode="00"/>
    <numFmt numFmtId="169" formatCode="[$-F800]dddd\,\ mmmm\ dd\,\ yyyy"/>
  </numFmts>
  <fonts count="26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22"/>
      <color theme="1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charset val="1"/>
      <scheme val="minor"/>
    </font>
    <font>
      <sz val="16"/>
      <color theme="1"/>
      <name val="Calibri"/>
      <family val="2"/>
      <charset val="1"/>
      <scheme val="minor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sz val="2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i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/>
    <xf numFmtId="0" fontId="2" fillId="0" borderId="6" xfId="0" applyFont="1" applyBorder="1"/>
    <xf numFmtId="0" fontId="2" fillId="0" borderId="11" xfId="0" applyFont="1" applyBorder="1"/>
    <xf numFmtId="0" fontId="2" fillId="2" borderId="5" xfId="0" applyFont="1" applyFill="1" applyBorder="1"/>
    <xf numFmtId="0" fontId="2" fillId="2" borderId="8" xfId="0" applyFont="1" applyFill="1" applyBorder="1"/>
    <xf numFmtId="0" fontId="2" fillId="2" borderId="10" xfId="0" applyFont="1" applyFill="1" applyBorder="1"/>
    <xf numFmtId="165" fontId="0" fillId="0" borderId="0" xfId="0" applyNumberFormat="1"/>
    <xf numFmtId="0" fontId="1" fillId="0" borderId="0" xfId="0" applyFont="1"/>
    <xf numFmtId="0" fontId="1" fillId="0" borderId="13" xfId="0" applyFont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0" fillId="2" borderId="2" xfId="0" applyFill="1" applyBorder="1" applyAlignment="1">
      <alignment horizontal="center" vertical="center"/>
    </xf>
    <xf numFmtId="0" fontId="12" fillId="0" borderId="0" xfId="0" applyFont="1"/>
    <xf numFmtId="0" fontId="8" fillId="0" borderId="0" xfId="0" applyFont="1"/>
    <xf numFmtId="0" fontId="0" fillId="0" borderId="0" xfId="0" applyAlignment="1">
      <alignment vertical="top"/>
    </xf>
    <xf numFmtId="0" fontId="5" fillId="0" borderId="0" xfId="0" applyFont="1"/>
    <xf numFmtId="0" fontId="5" fillId="0" borderId="2" xfId="0" applyFont="1" applyBorder="1" applyAlignment="1">
      <alignment vertical="center"/>
    </xf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2" fillId="0" borderId="7" xfId="0" applyFont="1" applyBorder="1" applyProtection="1">
      <protection locked="0"/>
    </xf>
    <xf numFmtId="0" fontId="2" fillId="0" borderId="9" xfId="0" applyFont="1" applyBorder="1" applyProtection="1">
      <protection locked="0"/>
    </xf>
    <xf numFmtId="0" fontId="2" fillId="0" borderId="9" xfId="0" quotePrefix="1" applyFont="1" applyBorder="1" applyProtection="1">
      <protection locked="0"/>
    </xf>
    <xf numFmtId="0" fontId="8" fillId="0" borderId="0" xfId="0" applyFont="1" applyAlignment="1">
      <alignment horizontal="center" vertical="center" wrapText="1"/>
    </xf>
    <xf numFmtId="0" fontId="0" fillId="0" borderId="27" xfId="0" applyBorder="1"/>
    <xf numFmtId="44" fontId="0" fillId="0" borderId="27" xfId="0" applyNumberFormat="1" applyBorder="1"/>
    <xf numFmtId="164" fontId="0" fillId="0" borderId="26" xfId="0" applyNumberFormat="1" applyBorder="1"/>
    <xf numFmtId="0" fontId="0" fillId="0" borderId="30" xfId="0" applyBorder="1"/>
    <xf numFmtId="44" fontId="0" fillId="0" borderId="30" xfId="0" applyNumberFormat="1" applyBorder="1"/>
    <xf numFmtId="0" fontId="8" fillId="4" borderId="32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8" fillId="4" borderId="3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wrapText="1"/>
    </xf>
    <xf numFmtId="0" fontId="13" fillId="0" borderId="0" xfId="0" applyFont="1"/>
    <xf numFmtId="42" fontId="0" fillId="0" borderId="30" xfId="0" applyNumberFormat="1" applyBorder="1"/>
    <xf numFmtId="42" fontId="0" fillId="0" borderId="27" xfId="0" applyNumberFormat="1" applyBorder="1"/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7" fontId="0" fillId="0" borderId="2" xfId="0" applyNumberFormat="1" applyBorder="1"/>
    <xf numFmtId="165" fontId="0" fillId="0" borderId="2" xfId="0" applyNumberFormat="1" applyBorder="1"/>
    <xf numFmtId="16" fontId="0" fillId="0" borderId="2" xfId="0" applyNumberFormat="1" applyBorder="1" applyAlignment="1">
      <alignment horizontal="center" vertical="center"/>
    </xf>
    <xf numFmtId="0" fontId="18" fillId="0" borderId="36" xfId="0" applyFont="1" applyBorder="1"/>
    <xf numFmtId="0" fontId="1" fillId="0" borderId="37" xfId="0" applyFont="1" applyBorder="1"/>
    <xf numFmtId="0" fontId="1" fillId="0" borderId="37" xfId="0" applyFont="1" applyBorder="1" applyAlignment="1">
      <alignment horizontal="left"/>
    </xf>
    <xf numFmtId="0" fontId="1" fillId="0" borderId="38" xfId="0" applyFont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42" xfId="0" applyFont="1" applyBorder="1"/>
    <xf numFmtId="0" fontId="1" fillId="0" borderId="36" xfId="0" applyFont="1" applyBorder="1"/>
    <xf numFmtId="166" fontId="1" fillId="0" borderId="0" xfId="0" applyNumberFormat="1" applyFont="1"/>
    <xf numFmtId="49" fontId="1" fillId="0" borderId="0" xfId="0" applyNumberFormat="1" applyFont="1"/>
    <xf numFmtId="165" fontId="1" fillId="0" borderId="0" xfId="0" applyNumberFormat="1" applyFont="1"/>
    <xf numFmtId="165" fontId="1" fillId="0" borderId="40" xfId="0" applyNumberFormat="1" applyFont="1" applyBorder="1"/>
    <xf numFmtId="0" fontId="1" fillId="0" borderId="14" xfId="0" applyFont="1" applyBorder="1" applyAlignment="1">
      <alignment vertical="center"/>
    </xf>
    <xf numFmtId="0" fontId="1" fillId="0" borderId="15" xfId="0" applyFont="1" applyBorder="1"/>
    <xf numFmtId="0" fontId="1" fillId="0" borderId="15" xfId="0" applyFont="1" applyBorder="1" applyAlignment="1">
      <alignment horizontal="left" vertical="center"/>
    </xf>
    <xf numFmtId="0" fontId="1" fillId="0" borderId="16" xfId="0" applyFont="1" applyBorder="1"/>
    <xf numFmtId="0" fontId="3" fillId="0" borderId="37" xfId="0" applyFont="1" applyBorder="1" applyAlignment="1">
      <alignment horizontal="right"/>
    </xf>
    <xf numFmtId="0" fontId="0" fillId="0" borderId="36" xfId="0" applyBorder="1"/>
    <xf numFmtId="0" fontId="1" fillId="0" borderId="37" xfId="0" applyFont="1" applyBorder="1" applyAlignment="1">
      <alignment horizontal="right"/>
    </xf>
    <xf numFmtId="0" fontId="0" fillId="0" borderId="39" xfId="0" applyBorder="1"/>
    <xf numFmtId="0" fontId="1" fillId="0" borderId="38" xfId="0" applyFont="1" applyBorder="1" applyAlignment="1">
      <alignment horizontal="left"/>
    </xf>
    <xf numFmtId="0" fontId="1" fillId="0" borderId="14" xfId="0" applyFont="1" applyBorder="1" applyAlignment="1">
      <alignment vertical="top"/>
    </xf>
    <xf numFmtId="0" fontId="1" fillId="0" borderId="16" xfId="0" applyFont="1" applyBorder="1" applyAlignment="1">
      <alignment horizontal="left" vertical="top"/>
    </xf>
    <xf numFmtId="0" fontId="1" fillId="0" borderId="14" xfId="0" applyFont="1" applyBorder="1" applyAlignment="1">
      <alignment horizontal="left" vertical="top"/>
    </xf>
    <xf numFmtId="0" fontId="1" fillId="0" borderId="15" xfId="0" applyFont="1" applyBorder="1" applyAlignment="1">
      <alignment horizontal="left" vertical="top"/>
    </xf>
    <xf numFmtId="0" fontId="1" fillId="0" borderId="3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1" fillId="0" borderId="42" xfId="0" applyFont="1" applyBorder="1" applyAlignment="1">
      <alignment horizontal="left"/>
    </xf>
    <xf numFmtId="0" fontId="2" fillId="0" borderId="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0" borderId="3" xfId="0" applyFont="1" applyBorder="1"/>
    <xf numFmtId="0" fontId="2" fillId="0" borderId="46" xfId="0" applyFont="1" applyBorder="1"/>
    <xf numFmtId="0" fontId="2" fillId="0" borderId="18" xfId="0" applyFont="1" applyBorder="1"/>
    <xf numFmtId="0" fontId="8" fillId="4" borderId="0" xfId="0" applyFont="1" applyFill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 wrapText="1"/>
    </xf>
    <xf numFmtId="0" fontId="16" fillId="2" borderId="1" xfId="0" applyFont="1" applyFill="1" applyBorder="1"/>
    <xf numFmtId="0" fontId="16" fillId="2" borderId="43" xfId="0" applyFont="1" applyFill="1" applyBorder="1"/>
    <xf numFmtId="0" fontId="16" fillId="2" borderId="17" xfId="0" applyFont="1" applyFill="1" applyBorder="1"/>
    <xf numFmtId="0" fontId="2" fillId="0" borderId="2" xfId="0" quotePrefix="1" applyFont="1" applyBorder="1"/>
    <xf numFmtId="168" fontId="0" fillId="0" borderId="3" xfId="0" applyNumberFormat="1" applyBorder="1" applyAlignment="1" applyProtection="1">
      <alignment horizontal="center" vertical="center"/>
      <protection locked="0"/>
    </xf>
    <xf numFmtId="0" fontId="19" fillId="0" borderId="39" xfId="0" applyFont="1" applyBorder="1"/>
    <xf numFmtId="165" fontId="3" fillId="0" borderId="50" xfId="0" applyNumberFormat="1" applyFont="1" applyBorder="1"/>
    <xf numFmtId="0" fontId="18" fillId="0" borderId="41" xfId="0" applyFont="1" applyBorder="1" applyAlignment="1">
      <alignment vertical="center"/>
    </xf>
    <xf numFmtId="0" fontId="18" fillId="0" borderId="13" xfId="0" applyFont="1" applyBorder="1" applyAlignment="1">
      <alignment vertical="center"/>
    </xf>
    <xf numFmtId="0" fontId="18" fillId="0" borderId="42" xfId="0" applyFont="1" applyBorder="1" applyAlignment="1">
      <alignment vertical="center"/>
    </xf>
    <xf numFmtId="0" fontId="1" fillId="0" borderId="15" xfId="0" applyFont="1" applyBorder="1" applyAlignment="1">
      <alignment vertical="top"/>
    </xf>
    <xf numFmtId="0" fontId="1" fillId="0" borderId="37" xfId="0" applyFont="1" applyBorder="1" applyAlignment="1">
      <alignment vertical="top"/>
    </xf>
    <xf numFmtId="0" fontId="5" fillId="0" borderId="13" xfId="0" applyFont="1" applyBorder="1" applyAlignment="1">
      <alignment horizontal="right" vertical="top"/>
    </xf>
    <xf numFmtId="0" fontId="0" fillId="4" borderId="30" xfId="0" applyFill="1" applyBorder="1"/>
    <xf numFmtId="0" fontId="0" fillId="0" borderId="27" xfId="0" applyBorder="1" applyAlignment="1">
      <alignment wrapText="1"/>
    </xf>
    <xf numFmtId="164" fontId="0" fillId="0" borderId="29" xfId="0" applyNumberFormat="1" applyBorder="1"/>
    <xf numFmtId="0" fontId="4" fillId="0" borderId="0" xfId="0" applyFont="1" applyAlignment="1">
      <alignment horizontal="center"/>
    </xf>
    <xf numFmtId="0" fontId="2" fillId="0" borderId="9" xfId="0" applyFont="1" applyBorder="1" applyAlignment="1" applyProtection="1">
      <alignment horizontal="left"/>
      <protection locked="0"/>
    </xf>
    <xf numFmtId="0" fontId="2" fillId="0" borderId="9" xfId="0" applyFont="1" applyBorder="1"/>
    <xf numFmtId="0" fontId="20" fillId="0" borderId="12" xfId="1" applyBorder="1"/>
    <xf numFmtId="0" fontId="8" fillId="2" borderId="2" xfId="0" applyFont="1" applyFill="1" applyBorder="1" applyAlignment="1">
      <alignment horizontal="center" vertical="center" wrapText="1"/>
    </xf>
    <xf numFmtId="0" fontId="21" fillId="0" borderId="53" xfId="0" applyFont="1" applyBorder="1" applyAlignment="1">
      <alignment wrapText="1"/>
    </xf>
    <xf numFmtId="0" fontId="21" fillId="0" borderId="53" xfId="0" applyFont="1" applyBorder="1" applyAlignment="1">
      <alignment vertical="top" wrapText="1"/>
    </xf>
    <xf numFmtId="0" fontId="21" fillId="0" borderId="54" xfId="0" applyFont="1" applyBorder="1"/>
    <xf numFmtId="0" fontId="21" fillId="0" borderId="53" xfId="0" applyFont="1" applyBorder="1"/>
    <xf numFmtId="0" fontId="21" fillId="0" borderId="22" xfId="0" applyFont="1" applyBorder="1"/>
    <xf numFmtId="0" fontId="21" fillId="0" borderId="55" xfId="0" applyFont="1" applyBorder="1"/>
    <xf numFmtId="0" fontId="21" fillId="0" borderId="0" xfId="0" applyFont="1"/>
    <xf numFmtId="0" fontId="21" fillId="0" borderId="16" xfId="0" applyFont="1" applyBorder="1" applyAlignment="1">
      <alignment wrapText="1"/>
    </xf>
    <xf numFmtId="0" fontId="21" fillId="0" borderId="16" xfId="0" applyFont="1" applyBorder="1" applyAlignment="1">
      <alignment vertical="top" wrapText="1"/>
    </xf>
    <xf numFmtId="0" fontId="21" fillId="0" borderId="16" xfId="0" applyFont="1" applyBorder="1"/>
    <xf numFmtId="0" fontId="21" fillId="0" borderId="57" xfId="0" applyFont="1" applyBorder="1"/>
    <xf numFmtId="0" fontId="21" fillId="2" borderId="51" xfId="0" applyFont="1" applyFill="1" applyBorder="1" applyAlignment="1">
      <alignment horizontal="center" wrapText="1"/>
    </xf>
    <xf numFmtId="0" fontId="21" fillId="2" borderId="56" xfId="0" applyFont="1" applyFill="1" applyBorder="1" applyAlignment="1">
      <alignment wrapText="1"/>
    </xf>
    <xf numFmtId="0" fontId="21" fillId="2" borderId="52" xfId="0" applyFont="1" applyFill="1" applyBorder="1" applyAlignment="1">
      <alignment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4" fontId="5" fillId="0" borderId="2" xfId="0" applyNumberFormat="1" applyFont="1" applyBorder="1" applyAlignment="1">
      <alignment vertical="center" wrapText="1"/>
    </xf>
    <xf numFmtId="0" fontId="5" fillId="0" borderId="0" xfId="0" applyFont="1" applyAlignment="1">
      <alignment vertical="center"/>
    </xf>
    <xf numFmtId="165" fontId="5" fillId="0" borderId="0" xfId="0" applyNumberFormat="1" applyFont="1" applyAlignment="1">
      <alignment vertical="center"/>
    </xf>
    <xf numFmtId="14" fontId="5" fillId="0" borderId="2" xfId="0" applyNumberFormat="1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18" fillId="0" borderId="0" xfId="0" applyFont="1" applyAlignment="1">
      <alignment vertical="center"/>
    </xf>
    <xf numFmtId="0" fontId="5" fillId="0" borderId="0" xfId="0" applyFont="1" applyAlignment="1">
      <alignment horizontal="right" vertical="top"/>
    </xf>
    <xf numFmtId="0" fontId="3" fillId="0" borderId="0" xfId="0" applyFont="1" applyAlignment="1">
      <alignment horizontal="right"/>
    </xf>
    <xf numFmtId="0" fontId="6" fillId="5" borderId="0" xfId="0" applyFont="1" applyFill="1" applyAlignment="1">
      <alignment vertical="center" wrapText="1"/>
    </xf>
    <xf numFmtId="49" fontId="0" fillId="0" borderId="0" xfId="0" applyNumberFormat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165" fontId="1" fillId="0" borderId="2" xfId="0" applyNumberFormat="1" applyFont="1" applyBorder="1"/>
    <xf numFmtId="165" fontId="3" fillId="0" borderId="2" xfId="0" applyNumberFormat="1" applyFont="1" applyBorder="1"/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1" fillId="0" borderId="14" xfId="0" applyFont="1" applyBorder="1"/>
    <xf numFmtId="166" fontId="1" fillId="0" borderId="15" xfId="0" applyNumberFormat="1" applyFont="1" applyBorder="1"/>
    <xf numFmtId="49" fontId="1" fillId="0" borderId="16" xfId="0" applyNumberFormat="1" applyFont="1" applyBorder="1"/>
    <xf numFmtId="0" fontId="0" fillId="6" borderId="2" xfId="0" applyFill="1" applyBorder="1" applyAlignment="1">
      <alignment horizontal="center" vertical="center"/>
    </xf>
    <xf numFmtId="164" fontId="0" fillId="0" borderId="0" xfId="0" applyNumberFormat="1"/>
    <xf numFmtId="0" fontId="5" fillId="0" borderId="2" xfId="0" applyFont="1" applyBorder="1" applyAlignment="1">
      <alignment horizontal="left" vertical="center"/>
    </xf>
    <xf numFmtId="169" fontId="5" fillId="0" borderId="0" xfId="0" applyNumberFormat="1" applyFont="1"/>
    <xf numFmtId="0" fontId="9" fillId="0" borderId="0" xfId="0" applyFont="1"/>
    <xf numFmtId="165" fontId="5" fillId="0" borderId="2" xfId="0" applyNumberFormat="1" applyFont="1" applyBorder="1" applyAlignment="1">
      <alignment vertical="center"/>
    </xf>
    <xf numFmtId="0" fontId="21" fillId="0" borderId="54" xfId="0" quotePrefix="1" applyFont="1" applyBorder="1"/>
    <xf numFmtId="0" fontId="19" fillId="0" borderId="2" xfId="0" applyFont="1" applyBorder="1" applyProtection="1">
      <protection locked="0"/>
    </xf>
    <xf numFmtId="0" fontId="19" fillId="6" borderId="2" xfId="0" applyFont="1" applyFill="1" applyBorder="1"/>
    <xf numFmtId="164" fontId="19" fillId="2" borderId="2" xfId="0" applyNumberFormat="1" applyFont="1" applyFill="1" applyBorder="1" applyProtection="1">
      <protection locked="0"/>
    </xf>
    <xf numFmtId="0" fontId="19" fillId="2" borderId="2" xfId="0" applyFont="1" applyFill="1" applyBorder="1" applyProtection="1">
      <protection locked="0"/>
    </xf>
    <xf numFmtId="165" fontId="19" fillId="2" borderId="2" xfId="0" applyNumberFormat="1" applyFont="1" applyFill="1" applyBorder="1" applyProtection="1">
      <protection locked="0"/>
    </xf>
    <xf numFmtId="165" fontId="19" fillId="2" borderId="2" xfId="0" applyNumberFormat="1" applyFont="1" applyFill="1" applyBorder="1"/>
    <xf numFmtId="0" fontId="19" fillId="6" borderId="2" xfId="0" applyFont="1" applyFill="1" applyBorder="1" applyProtection="1">
      <protection locked="0"/>
    </xf>
    <xf numFmtId="0" fontId="19" fillId="0" borderId="2" xfId="0" applyFont="1" applyBorder="1" applyAlignment="1" applyProtection="1">
      <alignment horizontal="fill"/>
      <protection locked="0"/>
    </xf>
    <xf numFmtId="0" fontId="13" fillId="0" borderId="21" xfId="0" applyFont="1" applyBorder="1" applyAlignment="1">
      <alignment vertical="center"/>
    </xf>
    <xf numFmtId="0" fontId="8" fillId="0" borderId="21" xfId="0" applyFont="1" applyBorder="1"/>
    <xf numFmtId="0" fontId="8" fillId="0" borderId="0" xfId="0" applyFont="1" applyAlignment="1">
      <alignment horizontal="center"/>
    </xf>
    <xf numFmtId="0" fontId="18" fillId="0" borderId="21" xfId="0" applyFont="1" applyBorder="1" applyAlignment="1">
      <alignment horizontal="center" vertical="center"/>
    </xf>
    <xf numFmtId="14" fontId="19" fillId="0" borderId="2" xfId="0" applyNumberFormat="1" applyFont="1" applyBorder="1" applyProtection="1">
      <protection locked="0"/>
    </xf>
    <xf numFmtId="0" fontId="21" fillId="0" borderId="54" xfId="0" quotePrefix="1" applyFont="1" applyBorder="1" applyAlignment="1">
      <alignment vertical="top" wrapText="1"/>
    </xf>
    <xf numFmtId="0" fontId="1" fillId="0" borderId="0" xfId="0" applyFont="1" applyBorder="1" applyAlignment="1"/>
    <xf numFmtId="14" fontId="0" fillId="0" borderId="2" xfId="0" applyNumberFormat="1" applyBorder="1"/>
    <xf numFmtId="0" fontId="2" fillId="0" borderId="9" xfId="0" quotePrefix="1" applyFont="1" applyBorder="1" applyAlignment="1" applyProtection="1">
      <alignment wrapText="1"/>
      <protection locked="0"/>
    </xf>
    <xf numFmtId="0" fontId="2" fillId="0" borderId="9" xfId="0" quotePrefix="1" applyNumberFormat="1" applyFont="1" applyBorder="1" applyProtection="1">
      <protection locked="0"/>
    </xf>
    <xf numFmtId="0" fontId="12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40" xfId="0" applyFont="1" applyBorder="1" applyAlignment="1">
      <alignment horizontal="center"/>
    </xf>
    <xf numFmtId="164" fontId="5" fillId="0" borderId="13" xfId="0" applyNumberFormat="1" applyFont="1" applyBorder="1" applyAlignment="1">
      <alignment horizontal="center" vertical="top"/>
    </xf>
    <xf numFmtId="0" fontId="25" fillId="3" borderId="15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 wrapText="1"/>
    </xf>
    <xf numFmtId="165" fontId="3" fillId="3" borderId="14" xfId="0" applyNumberFormat="1" applyFont="1" applyFill="1" applyBorder="1" applyAlignment="1">
      <alignment horizontal="left" vertical="center"/>
    </xf>
    <xf numFmtId="165" fontId="3" fillId="3" borderId="15" xfId="0" applyNumberFormat="1" applyFont="1" applyFill="1" applyBorder="1" applyAlignment="1">
      <alignment horizontal="left" vertical="center"/>
    </xf>
    <xf numFmtId="165" fontId="3" fillId="3" borderId="16" xfId="0" applyNumberFormat="1" applyFont="1" applyFill="1" applyBorder="1" applyAlignment="1">
      <alignment horizontal="left" vertic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5" fillId="0" borderId="13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164" fontId="1" fillId="0" borderId="37" xfId="0" applyNumberFormat="1" applyFont="1" applyBorder="1" applyAlignment="1">
      <alignment horizontal="left"/>
    </xf>
    <xf numFmtId="164" fontId="1" fillId="0" borderId="38" xfId="0" applyNumberFormat="1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18" fillId="0" borderId="38" xfId="0" applyFont="1" applyBorder="1" applyAlignment="1">
      <alignment horizontal="center"/>
    </xf>
    <xf numFmtId="0" fontId="17" fillId="0" borderId="36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3" fillId="0" borderId="58" xfId="0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9" fontId="5" fillId="0" borderId="0" xfId="0" applyNumberFormat="1" applyFont="1" applyAlignment="1">
      <alignment horizontal="left" vertical="top"/>
    </xf>
    <xf numFmtId="0" fontId="7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8" fillId="0" borderId="21" xfId="0" applyFont="1" applyBorder="1" applyAlignment="1">
      <alignment horizontal="left" vertical="center" wrapText="1"/>
    </xf>
    <xf numFmtId="0" fontId="8" fillId="0" borderId="2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2379E"/>
      <color rgb="FF224CFE"/>
      <color rgb="FFEBEB05"/>
      <color rgb="FFBA1658"/>
      <color rgb="FF28A86E"/>
      <color rgb="FFFFFF00"/>
      <color rgb="FFFF6600"/>
      <color rgb="FFB818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7" fmlaLink="$U$10" max="30000" min="1" page="10" val="5"/>
</file>

<file path=xl/ctrlProps/ctrlProp2.xml><?xml version="1.0" encoding="utf-8"?>
<formControlPr xmlns="http://schemas.microsoft.com/office/spreadsheetml/2009/9/main" objectType="Spin" dx="27" fmlaLink="$R$10" max="30000" min="1" page="10" val="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DATA LAMPIRAN'!A1"/><Relationship Id="rId7" Type="http://schemas.openxmlformats.org/officeDocument/2006/relationships/image" Target="../media/image1.png"/><Relationship Id="rId2" Type="http://schemas.openxmlformats.org/officeDocument/2006/relationships/hyperlink" Target="#'DATA KAS'!A1"/><Relationship Id="rId1" Type="http://schemas.openxmlformats.org/officeDocument/2006/relationships/hyperlink" Target="#'DATA UMUM'!A1"/><Relationship Id="rId6" Type="http://schemas.openxmlformats.org/officeDocument/2006/relationships/hyperlink" Target="#'L. UPAH KERJA'!A1"/><Relationship Id="rId5" Type="http://schemas.openxmlformats.org/officeDocument/2006/relationships/hyperlink" Target="#'L. TRANSPORT'!A1"/><Relationship Id="rId4" Type="http://schemas.openxmlformats.org/officeDocument/2006/relationships/hyperlink" Target="#'KUITANSI UMUM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TA LAMPIRAN'!A1"/><Relationship Id="rId2" Type="http://schemas.openxmlformats.org/officeDocument/2006/relationships/hyperlink" Target="#'DATA KAS'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PMB!A1"/><Relationship Id="rId2" Type="http://schemas.openxmlformats.org/officeDocument/2006/relationships/hyperlink" Target="#'KUITANSI UMUM'!A1"/><Relationship Id="rId1" Type="http://schemas.openxmlformats.org/officeDocument/2006/relationships/hyperlink" Target="#Home!A1"/><Relationship Id="rId4" Type="http://schemas.openxmlformats.org/officeDocument/2006/relationships/hyperlink" Target="#'DATA LAMPIRAN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ATA UMUM'!A1"/><Relationship Id="rId2" Type="http://schemas.openxmlformats.org/officeDocument/2006/relationships/hyperlink" Target="#Home!A1"/><Relationship Id="rId1" Type="http://schemas.openxmlformats.org/officeDocument/2006/relationships/hyperlink" Target="#'SP. Tugas'!Print_Area"/><Relationship Id="rId4" Type="http://schemas.openxmlformats.org/officeDocument/2006/relationships/hyperlink" Target="#'Daftar Penerima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DATA KAS'!A1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'DATA KAS'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'DATA LAMPIRAN'!A1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'DATA LAMPIRAN'!A1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43897</xdr:colOff>
      <xdr:row>1</xdr:row>
      <xdr:rowOff>109727</xdr:rowOff>
    </xdr:from>
    <xdr:to>
      <xdr:col>4</xdr:col>
      <xdr:colOff>21952</xdr:colOff>
      <xdr:row>6</xdr:row>
      <xdr:rowOff>51205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7635" y="292607"/>
          <a:ext cx="1909267" cy="855878"/>
        </a:xfrm>
        <a:prstGeom prst="roundRect">
          <a:avLst>
            <a:gd name="adj" fmla="val 26069"/>
          </a:avLst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1"/>
            <a:t>🗈</a:t>
          </a:r>
        </a:p>
        <a:p>
          <a:pPr algn="ctr"/>
          <a:r>
            <a:rPr lang="en-ID" sz="1200" b="1"/>
            <a:t>DATA UMUM</a:t>
          </a:r>
        </a:p>
      </xdr:txBody>
    </xdr:sp>
    <xdr:clientData/>
  </xdr:twoCellAnchor>
  <xdr:twoCellAnchor>
    <xdr:from>
      <xdr:col>4</xdr:col>
      <xdr:colOff>174349</xdr:colOff>
      <xdr:row>1</xdr:row>
      <xdr:rowOff>108507</xdr:rowOff>
    </xdr:from>
    <xdr:to>
      <xdr:col>7</xdr:col>
      <xdr:colOff>152403</xdr:colOff>
      <xdr:row>6</xdr:row>
      <xdr:rowOff>49985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49299" y="291387"/>
          <a:ext cx="1909267" cy="855878"/>
        </a:xfrm>
        <a:prstGeom prst="roundRect">
          <a:avLst>
            <a:gd name="adj" fmla="val 26069"/>
          </a:avLst>
        </a:prstGeom>
        <a:solidFill>
          <a:srgbClr val="B818A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1"/>
            <a:t>🗈</a:t>
          </a:r>
        </a:p>
        <a:p>
          <a:pPr algn="ctr"/>
          <a:r>
            <a:rPr lang="en-ID" sz="1200" b="1"/>
            <a:t>DATA KAS</a:t>
          </a:r>
        </a:p>
      </xdr:txBody>
    </xdr:sp>
    <xdr:clientData/>
  </xdr:twoCellAnchor>
  <xdr:twoCellAnchor>
    <xdr:from>
      <xdr:col>7</xdr:col>
      <xdr:colOff>332253</xdr:colOff>
      <xdr:row>1</xdr:row>
      <xdr:rowOff>108508</xdr:rowOff>
    </xdr:from>
    <xdr:to>
      <xdr:col>10</xdr:col>
      <xdr:colOff>310307</xdr:colOff>
      <xdr:row>6</xdr:row>
      <xdr:rowOff>49986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34885" y="291388"/>
          <a:ext cx="1907753" cy="855878"/>
        </a:xfrm>
        <a:prstGeom prst="roundRect">
          <a:avLst>
            <a:gd name="adj" fmla="val 26069"/>
          </a:avLst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600" b="1"/>
            <a:t>🗈</a:t>
          </a:r>
        </a:p>
        <a:p>
          <a:pPr algn="ctr"/>
          <a:r>
            <a:rPr lang="en-ID" sz="1000" b="1"/>
            <a:t>DAFTAR</a:t>
          </a:r>
          <a:r>
            <a:rPr lang="en-ID" sz="1000" b="1" baseline="0"/>
            <a:t> PENERIMA HONOR DAN TRANSPORT</a:t>
          </a:r>
          <a:endParaRPr lang="en-ID" sz="1000" b="1"/>
        </a:p>
      </xdr:txBody>
    </xdr:sp>
    <xdr:clientData/>
  </xdr:twoCellAnchor>
  <xdr:twoCellAnchor>
    <xdr:from>
      <xdr:col>1</xdr:col>
      <xdr:colOff>41457</xdr:colOff>
      <xdr:row>7</xdr:row>
      <xdr:rowOff>70711</xdr:rowOff>
    </xdr:from>
    <xdr:to>
      <xdr:col>4</xdr:col>
      <xdr:colOff>19512</xdr:colOff>
      <xdr:row>12</xdr:row>
      <xdr:rowOff>12189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85195" y="1350871"/>
          <a:ext cx="1909267" cy="855878"/>
        </a:xfrm>
        <a:prstGeom prst="roundRect">
          <a:avLst>
            <a:gd name="adj" fmla="val 26069"/>
          </a:avLst>
        </a:prstGeom>
        <a:solidFill>
          <a:srgbClr val="12379E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20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endParaRPr lang="en-ID" sz="2000" b="1" i="0" u="none" strike="noStrike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200" b="1" baseline="0"/>
            <a:t>KUITANSI UMUM</a:t>
          </a:r>
          <a:endParaRPr lang="en-ID" sz="1200" b="1"/>
        </a:p>
      </xdr:txBody>
    </xdr:sp>
    <xdr:clientData/>
  </xdr:twoCellAnchor>
  <xdr:twoCellAnchor>
    <xdr:from>
      <xdr:col>4</xdr:col>
      <xdr:colOff>195075</xdr:colOff>
      <xdr:row>7</xdr:row>
      <xdr:rowOff>63396</xdr:rowOff>
    </xdr:from>
    <xdr:to>
      <xdr:col>7</xdr:col>
      <xdr:colOff>173129</xdr:colOff>
      <xdr:row>12</xdr:row>
      <xdr:rowOff>4874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70025" y="1343556"/>
          <a:ext cx="1909267" cy="855878"/>
        </a:xfrm>
        <a:prstGeom prst="roundRect">
          <a:avLst>
            <a:gd name="adj" fmla="val 26069"/>
          </a:avLst>
        </a:prstGeom>
        <a:solidFill>
          <a:srgbClr val="BA1658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endParaRPr lang="en-ID" sz="2000" b="1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200" b="1" baseline="0"/>
            <a:t>LAMPIRAN TRANSPORT</a:t>
          </a:r>
          <a:endParaRPr lang="en-ID" sz="1200" b="1"/>
        </a:p>
      </xdr:txBody>
    </xdr:sp>
    <xdr:clientData/>
  </xdr:twoCellAnchor>
  <xdr:twoCellAnchor>
    <xdr:from>
      <xdr:col>7</xdr:col>
      <xdr:colOff>331035</xdr:colOff>
      <xdr:row>7</xdr:row>
      <xdr:rowOff>63398</xdr:rowOff>
    </xdr:from>
    <xdr:to>
      <xdr:col>10</xdr:col>
      <xdr:colOff>309089</xdr:colOff>
      <xdr:row>12</xdr:row>
      <xdr:rowOff>4876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833667" y="1343558"/>
          <a:ext cx="1907753" cy="855878"/>
        </a:xfrm>
        <a:prstGeom prst="roundRect">
          <a:avLst>
            <a:gd name="adj" fmla="val 26069"/>
          </a:avLst>
        </a:prstGeom>
        <a:solidFill>
          <a:srgbClr val="EBEB0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🖶</a:t>
          </a:r>
        </a:p>
        <a:p>
          <a:pPr algn="ctr"/>
          <a:r>
            <a:rPr lang="en-ID" sz="1200" b="1">
              <a:solidFill>
                <a:schemeClr val="tx1"/>
              </a:solidFill>
            </a:rPr>
            <a:t>UPAH KERJA</a:t>
          </a:r>
        </a:p>
      </xdr:txBody>
    </xdr:sp>
    <xdr:clientData/>
  </xdr:twoCellAnchor>
  <xdr:twoCellAnchor editAs="oneCell">
    <xdr:from>
      <xdr:col>11</xdr:col>
      <xdr:colOff>54694</xdr:colOff>
      <xdr:row>13</xdr:row>
      <xdr:rowOff>113656</xdr:rowOff>
    </xdr:from>
    <xdr:to>
      <xdr:col>16</xdr:col>
      <xdr:colOff>484103</xdr:colOff>
      <xdr:row>20</xdr:row>
      <xdr:rowOff>35138</xdr:rowOff>
    </xdr:to>
    <xdr:pic>
      <xdr:nvPicPr>
        <xdr:cNvPr id="9" name="Picture 8" descr="Sistem Informasi BOS Sal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3775" y="2513315"/>
          <a:ext cx="3642628" cy="1917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62313</xdr:colOff>
      <xdr:row>6</xdr:row>
      <xdr:rowOff>106822</xdr:rowOff>
    </xdr:from>
    <xdr:to>
      <xdr:col>16</xdr:col>
      <xdr:colOff>320532</xdr:colOff>
      <xdr:row>13</xdr:row>
      <xdr:rowOff>48563</xdr:rowOff>
    </xdr:to>
    <xdr:pic>
      <xdr:nvPicPr>
        <xdr:cNvPr id="10" name="Picture 9" descr="Tentang ARKAS – ARKA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78" b="19149"/>
        <a:stretch/>
      </xdr:blipFill>
      <xdr:spPr bwMode="auto">
        <a:xfrm>
          <a:off x="6720911" y="1228458"/>
          <a:ext cx="3284855" cy="125031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899706</xdr:colOff>
      <xdr:row>11</xdr:row>
      <xdr:rowOff>172511</xdr:rowOff>
    </xdr:from>
    <xdr:to>
      <xdr:col>1</xdr:col>
      <xdr:colOff>2808973</xdr:colOff>
      <xdr:row>13</xdr:row>
      <xdr:rowOff>305157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9306" y="3873654"/>
          <a:ext cx="1909267" cy="872874"/>
        </a:xfrm>
        <a:prstGeom prst="roundRect">
          <a:avLst>
            <a:gd name="adj" fmla="val 26069"/>
          </a:avLst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🏠 MENU</a:t>
          </a:r>
        </a:p>
      </xdr:txBody>
    </xdr:sp>
    <xdr:clientData/>
  </xdr:twoCellAnchor>
  <xdr:twoCellAnchor>
    <xdr:from>
      <xdr:col>1</xdr:col>
      <xdr:colOff>2961370</xdr:colOff>
      <xdr:row>11</xdr:row>
      <xdr:rowOff>171291</xdr:rowOff>
    </xdr:from>
    <xdr:to>
      <xdr:col>3</xdr:col>
      <xdr:colOff>898405</xdr:colOff>
      <xdr:row>13</xdr:row>
      <xdr:rowOff>303937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570970" y="3872434"/>
          <a:ext cx="1659949" cy="872874"/>
        </a:xfrm>
        <a:prstGeom prst="roundRect">
          <a:avLst>
            <a:gd name="adj" fmla="val 26069"/>
          </a:avLst>
        </a:prstGeom>
        <a:solidFill>
          <a:srgbClr val="B818A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3200" b="1"/>
            <a:t>🗈 </a:t>
          </a:r>
          <a:r>
            <a:rPr lang="en-ID" sz="2400" b="1"/>
            <a:t>KAS</a:t>
          </a:r>
        </a:p>
      </xdr:txBody>
    </xdr:sp>
    <xdr:clientData/>
  </xdr:twoCellAnchor>
  <xdr:twoCellAnchor>
    <xdr:from>
      <xdr:col>3</xdr:col>
      <xdr:colOff>1059337</xdr:colOff>
      <xdr:row>11</xdr:row>
      <xdr:rowOff>171292</xdr:rowOff>
    </xdr:from>
    <xdr:to>
      <xdr:col>3</xdr:col>
      <xdr:colOff>2968604</xdr:colOff>
      <xdr:row>13</xdr:row>
      <xdr:rowOff>303938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91851" y="3872435"/>
          <a:ext cx="1909267" cy="872874"/>
        </a:xfrm>
        <a:prstGeom prst="roundRect">
          <a:avLst>
            <a:gd name="adj" fmla="val 26069"/>
          </a:avLst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ID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🗈 TRANSPORT</a:t>
          </a:r>
          <a:endParaRPr lang="en-ID" sz="20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74369</xdr:colOff>
      <xdr:row>0</xdr:row>
      <xdr:rowOff>65837</xdr:rowOff>
    </xdr:from>
    <xdr:to>
      <xdr:col>2</xdr:col>
      <xdr:colOff>1149706</xdr:colOff>
      <xdr:row>0</xdr:row>
      <xdr:rowOff>555954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369" y="65837"/>
          <a:ext cx="1075337" cy="490117"/>
        </a:xfrm>
        <a:prstGeom prst="roundRect">
          <a:avLst>
            <a:gd name="adj" fmla="val 26069"/>
          </a:avLst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/>
            <a:t>🏠 MENU</a:t>
          </a:r>
        </a:p>
      </xdr:txBody>
    </xdr:sp>
    <xdr:clientData/>
  </xdr:twoCellAnchor>
  <xdr:twoCellAnchor>
    <xdr:from>
      <xdr:col>3</xdr:col>
      <xdr:colOff>95093</xdr:colOff>
      <xdr:row>0</xdr:row>
      <xdr:rowOff>73152</xdr:rowOff>
    </xdr:from>
    <xdr:to>
      <xdr:col>4</xdr:col>
      <xdr:colOff>523874</xdr:colOff>
      <xdr:row>0</xdr:row>
      <xdr:rowOff>555955</xdr:rowOff>
    </xdr:to>
    <xdr:sp macro="" textlink="">
      <xdr:nvSpPr>
        <xdr:cNvPr id="24" name="Rectangle: Rounded Corners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228568" y="73152"/>
          <a:ext cx="1286031" cy="482803"/>
        </a:xfrm>
        <a:prstGeom prst="roundRect">
          <a:avLst>
            <a:gd name="adj" fmla="val 26069"/>
          </a:avLst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D" sz="1400" b="1"/>
            <a:t>KUITANSI</a:t>
          </a:r>
        </a:p>
      </xdr:txBody>
    </xdr:sp>
    <xdr:clientData/>
  </xdr:twoCellAnchor>
  <xdr:twoCellAnchor>
    <xdr:from>
      <xdr:col>18</xdr:col>
      <xdr:colOff>505985</xdr:colOff>
      <xdr:row>2</xdr:row>
      <xdr:rowOff>79169</xdr:rowOff>
    </xdr:from>
    <xdr:to>
      <xdr:col>25</xdr:col>
      <xdr:colOff>53022</xdr:colOff>
      <xdr:row>25</xdr:row>
      <xdr:rowOff>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3427721" y="1340350"/>
          <a:ext cx="3806829" cy="4393214"/>
        </a:xfrm>
        <a:prstGeom prst="roundRect">
          <a:avLst>
            <a:gd name="adj" fmla="val 4870"/>
          </a:avLst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800" b="1"/>
            <a:t>Keterangan</a:t>
          </a:r>
        </a:p>
        <a:p>
          <a:pPr algn="l"/>
          <a:r>
            <a:rPr lang="en-ID" sz="1800" b="0"/>
            <a:t>- Download Buku Kas di arkas lalu convert ke excel menggunakan Nitro PDF</a:t>
          </a:r>
        </a:p>
        <a:p>
          <a:pPr algn="l"/>
          <a:r>
            <a:rPr lang="en-ID" sz="1800" b="0"/>
            <a:t>- Copy</a:t>
          </a:r>
          <a:r>
            <a:rPr lang="en-ID" sz="1800" b="0" baseline="0"/>
            <a:t> paste isiannya ke sheet ini dengan </a:t>
          </a:r>
          <a:r>
            <a:rPr lang="en-ID" sz="1800" b="1" baseline="0"/>
            <a:t>PASTE VALUE</a:t>
          </a:r>
          <a:endParaRPr lang="en-ID" sz="1800" b="1"/>
        </a:p>
        <a:p>
          <a:pPr algn="l"/>
          <a:r>
            <a:rPr lang="en-ID" sz="1800"/>
            <a:t>-</a:t>
          </a:r>
          <a:r>
            <a:rPr lang="en-ID" sz="1800" baseline="0"/>
            <a:t> Kolom VOLUME, SATUAN, dan HARGA hanya diisi khusus transaksi belanja di toko</a:t>
          </a:r>
        </a:p>
        <a:p>
          <a:pPr algn="l"/>
          <a:r>
            <a:rPr lang="en-ID" sz="1800" baseline="0"/>
            <a:t>- Kolom LAMPIRAN diisi dengan ketentuan:</a:t>
          </a:r>
          <a:endParaRPr lang="en-ID" sz="1800"/>
        </a:p>
        <a:p>
          <a:pPr algn="l"/>
          <a:r>
            <a:rPr lang="en-ID" sz="1800"/>
            <a:t>1</a:t>
          </a:r>
          <a:r>
            <a:rPr lang="en-ID" sz="1800" baseline="0"/>
            <a:t> : Pembayaran Transport</a:t>
          </a:r>
        </a:p>
        <a:p>
          <a:pPr algn="l"/>
          <a:r>
            <a:rPr lang="en-ID" sz="1800" baseline="0"/>
            <a:t>2 : Khusus belanja toko</a:t>
          </a:r>
          <a:endParaRPr lang="en-ID" sz="1800"/>
        </a:p>
      </xdr:txBody>
    </xdr:sp>
    <xdr:clientData/>
  </xdr:twoCellAnchor>
  <xdr:twoCellAnchor>
    <xdr:from>
      <xdr:col>4</xdr:col>
      <xdr:colOff>637664</xdr:colOff>
      <xdr:row>0</xdr:row>
      <xdr:rowOff>73152</xdr:rowOff>
    </xdr:from>
    <xdr:to>
      <xdr:col>5</xdr:col>
      <xdr:colOff>687210</xdr:colOff>
      <xdr:row>0</xdr:row>
      <xdr:rowOff>555955</xdr:rowOff>
    </xdr:to>
    <xdr:sp macro="" textlink="">
      <xdr:nvSpPr>
        <xdr:cNvPr id="2" name="Rectangle: Rounded Corners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92595" y="73152"/>
          <a:ext cx="1284268" cy="482803"/>
        </a:xfrm>
        <a:prstGeom prst="roundRect">
          <a:avLst>
            <a:gd name="adj" fmla="val 26069"/>
          </a:avLst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D" sz="1400" b="1"/>
            <a:t>SPMB</a:t>
          </a:r>
        </a:p>
      </xdr:txBody>
    </xdr:sp>
    <xdr:clientData/>
  </xdr:twoCellAnchor>
  <xdr:twoCellAnchor>
    <xdr:from>
      <xdr:col>5</xdr:col>
      <xdr:colOff>762000</xdr:colOff>
      <xdr:row>0</xdr:row>
      <xdr:rowOff>66675</xdr:rowOff>
    </xdr:from>
    <xdr:to>
      <xdr:col>5</xdr:col>
      <xdr:colOff>2086225</xdr:colOff>
      <xdr:row>0</xdr:row>
      <xdr:rowOff>552450</xdr:rowOff>
    </xdr:to>
    <xdr:sp macro="" textlink="">
      <xdr:nvSpPr>
        <xdr:cNvPr id="7" name="Rectangle: Rounded Corner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57650" y="66675"/>
          <a:ext cx="1324225" cy="485775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🖊 Lampiran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3042360</xdr:colOff>
      <xdr:row>0</xdr:row>
      <xdr:rowOff>24216</xdr:rowOff>
    </xdr:from>
    <xdr:to>
      <xdr:col>2</xdr:col>
      <xdr:colOff>1373367</xdr:colOff>
      <xdr:row>0</xdr:row>
      <xdr:rowOff>516328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042360" y="24216"/>
          <a:ext cx="1487548" cy="492112"/>
        </a:xfrm>
        <a:prstGeom prst="roundRect">
          <a:avLst>
            <a:gd name="adj" fmla="val 26069"/>
          </a:avLst>
        </a:prstGeom>
        <a:solidFill>
          <a:srgbClr val="B818A5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2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Surat Tugas</a:t>
          </a:r>
        </a:p>
      </xdr:txBody>
    </xdr:sp>
    <xdr:clientData/>
  </xdr:twoCellAnchor>
  <xdr:twoCellAnchor>
    <xdr:from>
      <xdr:col>1</xdr:col>
      <xdr:colOff>0</xdr:colOff>
      <xdr:row>0</xdr:row>
      <xdr:rowOff>33251</xdr:rowOff>
    </xdr:from>
    <xdr:to>
      <xdr:col>1</xdr:col>
      <xdr:colOff>931024</xdr:colOff>
      <xdr:row>0</xdr:row>
      <xdr:rowOff>525363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1950" y="33251"/>
          <a:ext cx="1580643" cy="492112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1</xdr:col>
      <xdr:colOff>1184706</xdr:colOff>
      <xdr:row>0</xdr:row>
      <xdr:rowOff>37208</xdr:rowOff>
    </xdr:from>
    <xdr:to>
      <xdr:col>1</xdr:col>
      <xdr:colOff>2765349</xdr:colOff>
      <xdr:row>0</xdr:row>
      <xdr:rowOff>529320</xdr:rowOff>
    </xdr:to>
    <xdr:sp macro="" textlink="">
      <xdr:nvSpPr>
        <xdr:cNvPr id="2" name="Rectangle: Rounded Corners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84706" y="37208"/>
          <a:ext cx="1580643" cy="492112"/>
        </a:xfrm>
        <a:prstGeom prst="roundRect">
          <a:avLst>
            <a:gd name="adj" fmla="val 26069"/>
          </a:avLst>
        </a:prstGeom>
        <a:solidFill>
          <a:srgbClr val="00B05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6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🗈</a:t>
          </a:r>
          <a:r>
            <a:rPr lang="en-ID" sz="12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Isi Data Guru</a:t>
          </a:r>
        </a:p>
      </xdr:txBody>
    </xdr:sp>
    <xdr:clientData/>
  </xdr:twoCellAnchor>
  <xdr:twoCellAnchor>
    <xdr:from>
      <xdr:col>2</xdr:col>
      <xdr:colOff>1525713</xdr:colOff>
      <xdr:row>0</xdr:row>
      <xdr:rowOff>26785</xdr:rowOff>
    </xdr:from>
    <xdr:to>
      <xdr:col>2</xdr:col>
      <xdr:colOff>3056862</xdr:colOff>
      <xdr:row>0</xdr:row>
      <xdr:rowOff>518897</xdr:rowOff>
    </xdr:to>
    <xdr:sp macro="" textlink="">
      <xdr:nvSpPr>
        <xdr:cNvPr id="3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82254" y="26785"/>
          <a:ext cx="1531149" cy="492112"/>
        </a:xfrm>
        <a:prstGeom prst="roundRect">
          <a:avLst>
            <a:gd name="adj" fmla="val 26069"/>
          </a:avLst>
        </a:prstGeom>
        <a:solidFill>
          <a:srgbClr val="0070C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2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Daftar Penerima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</xdr:colOff>
          <xdr:row>8</xdr:row>
          <xdr:rowOff>0</xdr:rowOff>
        </xdr:from>
        <xdr:to>
          <xdr:col>22</xdr:col>
          <xdr:colOff>502920</xdr:colOff>
          <xdr:row>10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111880</xdr:colOff>
      <xdr:row>0</xdr:row>
      <xdr:rowOff>137698</xdr:rowOff>
    </xdr:from>
    <xdr:to>
      <xdr:col>5</xdr:col>
      <xdr:colOff>766338</xdr:colOff>
      <xdr:row>0</xdr:row>
      <xdr:rowOff>751241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11880" y="137698"/>
          <a:ext cx="1342947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6</xdr:col>
      <xdr:colOff>85272</xdr:colOff>
      <xdr:row>0</xdr:row>
      <xdr:rowOff>143795</xdr:rowOff>
    </xdr:from>
    <xdr:to>
      <xdr:col>8</xdr:col>
      <xdr:colOff>636853</xdr:colOff>
      <xdr:row>0</xdr:row>
      <xdr:rowOff>757338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25767" y="143795"/>
          <a:ext cx="1498254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8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🖊  </a:t>
          </a: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EDIT DATA</a:t>
          </a:r>
        </a:p>
      </xdr:txBody>
    </xdr:sp>
    <xdr:clientData/>
  </xdr:twoCellAnchor>
  <xdr:twoCellAnchor>
    <xdr:from>
      <xdr:col>19</xdr:col>
      <xdr:colOff>123306</xdr:colOff>
      <xdr:row>0</xdr:row>
      <xdr:rowOff>161774</xdr:rowOff>
    </xdr:from>
    <xdr:to>
      <xdr:col>21</xdr:col>
      <xdr:colOff>3024</xdr:colOff>
      <xdr:row>0</xdr:row>
      <xdr:rowOff>646759</xdr:rowOff>
    </xdr:to>
    <xdr:sp macro="[0]!Sheet9.unhid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850565" y="161774"/>
          <a:ext cx="961570" cy="48498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UNHIDE</a:t>
          </a:r>
        </a:p>
      </xdr:txBody>
    </xdr:sp>
    <xdr:clientData/>
  </xdr:twoCellAnchor>
  <xdr:twoCellAnchor>
    <xdr:from>
      <xdr:col>9</xdr:col>
      <xdr:colOff>297180</xdr:colOff>
      <xdr:row>0</xdr:row>
      <xdr:rowOff>22860</xdr:rowOff>
    </xdr:from>
    <xdr:to>
      <xdr:col>18</xdr:col>
      <xdr:colOff>1226820</xdr:colOff>
      <xdr:row>0</xdr:row>
      <xdr:rowOff>883920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246120" y="22860"/>
          <a:ext cx="6438900" cy="861060"/>
        </a:xfrm>
        <a:prstGeom prst="roundRect">
          <a:avLst/>
        </a:prstGeom>
        <a:ln>
          <a:noFill/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MENGIKUTI</a:t>
          </a:r>
          <a:r>
            <a:rPr lang="en-US" sz="1800" baseline="0"/>
            <a:t> ATURAN DINAS, RINCIAN BELANJA DIHAPUS DAN DIPINDAHKAN KE SPMB</a:t>
          </a:r>
          <a:endParaRPr lang="en-US" sz="1800"/>
        </a:p>
      </xdr:txBody>
    </xdr:sp>
    <xdr:clientData/>
  </xdr:twoCellAnchor>
  <xdr:twoCellAnchor>
    <xdr:from>
      <xdr:col>21</xdr:col>
      <xdr:colOff>115780</xdr:colOff>
      <xdr:row>0</xdr:row>
      <xdr:rowOff>154249</xdr:rowOff>
    </xdr:from>
    <xdr:to>
      <xdr:col>22</xdr:col>
      <xdr:colOff>127202</xdr:colOff>
      <xdr:row>0</xdr:row>
      <xdr:rowOff>639234</xdr:rowOff>
    </xdr:to>
    <xdr:sp macro="[0]!Sheet9.hide" textlink="">
      <xdr:nvSpPr>
        <xdr:cNvPr id="8" name="Rounded Rectangl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924891" y="154249"/>
          <a:ext cx="961570" cy="484985"/>
        </a:xfrm>
        <a:prstGeom prst="roundRect">
          <a:avLst/>
        </a:prstGeom>
        <a:solidFill>
          <a:srgbClr val="224CF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PROSES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</xdr:colOff>
          <xdr:row>8</xdr:row>
          <xdr:rowOff>0</xdr:rowOff>
        </xdr:from>
        <xdr:to>
          <xdr:col>19</xdr:col>
          <xdr:colOff>502920</xdr:colOff>
          <xdr:row>10</xdr:row>
          <xdr:rowOff>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16</xdr:col>
      <xdr:colOff>257135</xdr:colOff>
      <xdr:row>10</xdr:row>
      <xdr:rowOff>77824</xdr:rowOff>
    </xdr:from>
    <xdr:to>
      <xdr:col>19</xdr:col>
      <xdr:colOff>15566</xdr:colOff>
      <xdr:row>11</xdr:row>
      <xdr:rowOff>358914</xdr:rowOff>
    </xdr:to>
    <xdr:sp macro="[0]!Sheet9.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754526" y="3308041"/>
          <a:ext cx="1732453" cy="667612"/>
        </a:xfrm>
        <a:prstGeom prst="roundRect">
          <a:avLst/>
        </a:prstGeom>
        <a:solidFill>
          <a:srgbClr val="FF0000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1"/>
            <a:t>PROSES</a:t>
          </a:r>
        </a:p>
      </xdr:txBody>
    </xdr:sp>
    <xdr:clientData/>
  </xdr:twoCellAnchor>
  <xdr:twoCellAnchor>
    <xdr:from>
      <xdr:col>4</xdr:col>
      <xdr:colOff>111880</xdr:colOff>
      <xdr:row>0</xdr:row>
      <xdr:rowOff>137698</xdr:rowOff>
    </xdr:from>
    <xdr:to>
      <xdr:col>5</xdr:col>
      <xdr:colOff>766338</xdr:colOff>
      <xdr:row>0</xdr:row>
      <xdr:rowOff>751241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1880" y="137698"/>
          <a:ext cx="1283108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6</xdr:col>
      <xdr:colOff>85272</xdr:colOff>
      <xdr:row>0</xdr:row>
      <xdr:rowOff>143795</xdr:rowOff>
    </xdr:from>
    <xdr:to>
      <xdr:col>8</xdr:col>
      <xdr:colOff>636853</xdr:colOff>
      <xdr:row>0</xdr:row>
      <xdr:rowOff>757338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94972" y="143795"/>
          <a:ext cx="1408831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8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🖊  </a:t>
          </a: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EDIT DATA</a:t>
          </a:r>
        </a:p>
      </xdr:txBody>
    </xdr:sp>
    <xdr:clientData/>
  </xdr:twoCellAnchor>
  <xdr:twoCellAnchor>
    <xdr:from>
      <xdr:col>20</xdr:col>
      <xdr:colOff>57453</xdr:colOff>
      <xdr:row>8</xdr:row>
      <xdr:rowOff>77107</xdr:rowOff>
    </xdr:from>
    <xdr:to>
      <xdr:col>24</xdr:col>
      <xdr:colOff>341690</xdr:colOff>
      <xdr:row>9</xdr:row>
      <xdr:rowOff>317500</xdr:rowOff>
    </xdr:to>
    <xdr:sp macro="[0]!Sheet9.unhide" textlink="">
      <xdr:nvSpPr>
        <xdr:cNvPr id="5" name="Rounded Rectangl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16103" y="2820307"/>
          <a:ext cx="941462" cy="488043"/>
        </a:xfrm>
        <a:prstGeom prst="roundRect">
          <a:avLst/>
        </a:prstGeom>
        <a:solidFill>
          <a:srgbClr val="224CF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UNHIDE</a:t>
          </a:r>
        </a:p>
      </xdr:txBody>
    </xdr:sp>
    <xdr:clientData/>
  </xdr:twoCellAnchor>
  <xdr:twoCellAnchor editAs="oneCell">
    <xdr:from>
      <xdr:col>4</xdr:col>
      <xdr:colOff>90101</xdr:colOff>
      <xdr:row>1</xdr:row>
      <xdr:rowOff>231690</xdr:rowOff>
    </xdr:from>
    <xdr:to>
      <xdr:col>5</xdr:col>
      <xdr:colOff>373792</xdr:colOff>
      <xdr:row>5</xdr:row>
      <xdr:rowOff>167847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01" y="1145575"/>
          <a:ext cx="914400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144152</xdr:colOff>
      <xdr:row>0</xdr:row>
      <xdr:rowOff>156233</xdr:rowOff>
    </xdr:from>
    <xdr:to>
      <xdr:col>15</xdr:col>
      <xdr:colOff>61489</xdr:colOff>
      <xdr:row>1</xdr:row>
      <xdr:rowOff>680413</xdr:rowOff>
    </xdr:to>
    <xdr:sp macro="[0]!Sheet9.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56590" y="156233"/>
          <a:ext cx="1504837" cy="706743"/>
        </a:xfrm>
        <a:prstGeom prst="roundRect">
          <a:avLst/>
        </a:prstGeom>
        <a:solidFill>
          <a:srgbClr val="FF000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PROSES</a:t>
          </a:r>
        </a:p>
      </xdr:txBody>
    </xdr:sp>
    <xdr:clientData/>
  </xdr:twoCellAnchor>
  <xdr:twoCellAnchor>
    <xdr:from>
      <xdr:col>3</xdr:col>
      <xdr:colOff>77152</xdr:colOff>
      <xdr:row>0</xdr:row>
      <xdr:rowOff>178435</xdr:rowOff>
    </xdr:from>
    <xdr:to>
      <xdr:col>5</xdr:col>
      <xdr:colOff>25956</xdr:colOff>
      <xdr:row>1</xdr:row>
      <xdr:rowOff>593540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7152" y="178435"/>
          <a:ext cx="1448992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5</xdr:col>
      <xdr:colOff>230628</xdr:colOff>
      <xdr:row>0</xdr:row>
      <xdr:rowOff>181576</xdr:rowOff>
    </xdr:from>
    <xdr:to>
      <xdr:col>6</xdr:col>
      <xdr:colOff>206644</xdr:colOff>
      <xdr:row>1</xdr:row>
      <xdr:rowOff>596681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730816" y="181576"/>
          <a:ext cx="1785766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🖊 EDIT DATA</a:t>
          </a:r>
        </a:p>
      </xdr:txBody>
    </xdr:sp>
    <xdr:clientData/>
  </xdr:twoCellAnchor>
  <xdr:twoCellAnchor>
    <xdr:from>
      <xdr:col>15</xdr:col>
      <xdr:colOff>285114</xdr:colOff>
      <xdr:row>0</xdr:row>
      <xdr:rowOff>133985</xdr:rowOff>
    </xdr:from>
    <xdr:to>
      <xdr:col>17</xdr:col>
      <xdr:colOff>528107</xdr:colOff>
      <xdr:row>1</xdr:row>
      <xdr:rowOff>707284</xdr:rowOff>
    </xdr:to>
    <xdr:sp macro="[0]!Sheet9.unhi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2485052" y="133985"/>
          <a:ext cx="1465368" cy="771737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UNHIDE</a:t>
          </a:r>
        </a:p>
      </xdr:txBody>
    </xdr:sp>
    <xdr:clientData/>
  </xdr:twoCellAnchor>
  <xdr:twoCellAnchor editAs="oneCell">
    <xdr:from>
      <xdr:col>3</xdr:col>
      <xdr:colOff>99219</xdr:colOff>
      <xdr:row>3</xdr:row>
      <xdr:rowOff>19844</xdr:rowOff>
    </xdr:from>
    <xdr:to>
      <xdr:col>3</xdr:col>
      <xdr:colOff>1013619</xdr:colOff>
      <xdr:row>7</xdr:row>
      <xdr:rowOff>1588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9" y="1299766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283210</xdr:colOff>
      <xdr:row>0</xdr:row>
      <xdr:rowOff>144780</xdr:rowOff>
    </xdr:from>
    <xdr:to>
      <xdr:col>13</xdr:col>
      <xdr:colOff>836930</xdr:colOff>
      <xdr:row>1</xdr:row>
      <xdr:rowOff>712470</xdr:rowOff>
    </xdr:to>
    <xdr:sp macro="[0]!Sheet9.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8571210" y="144780"/>
          <a:ext cx="1442720" cy="758190"/>
        </a:xfrm>
        <a:prstGeom prst="roundRect">
          <a:avLst/>
        </a:prstGeom>
        <a:solidFill>
          <a:srgbClr val="FF000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PROSES</a:t>
          </a:r>
        </a:p>
      </xdr:txBody>
    </xdr:sp>
    <xdr:clientData/>
  </xdr:twoCellAnchor>
  <xdr:twoCellAnchor>
    <xdr:from>
      <xdr:col>3</xdr:col>
      <xdr:colOff>84399</xdr:colOff>
      <xdr:row>1</xdr:row>
      <xdr:rowOff>3810</xdr:rowOff>
    </xdr:from>
    <xdr:to>
      <xdr:col>4</xdr:col>
      <xdr:colOff>1278038</xdr:colOff>
      <xdr:row>1</xdr:row>
      <xdr:rowOff>617353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180524" y="194310"/>
          <a:ext cx="1574639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5</xdr:col>
      <xdr:colOff>1546</xdr:colOff>
      <xdr:row>1</xdr:row>
      <xdr:rowOff>22823</xdr:rowOff>
    </xdr:from>
    <xdr:to>
      <xdr:col>5</xdr:col>
      <xdr:colOff>1725821</xdr:colOff>
      <xdr:row>1</xdr:row>
      <xdr:rowOff>636366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288421" y="213323"/>
          <a:ext cx="1724275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🖊 EDIT DATA</a:t>
          </a:r>
        </a:p>
      </xdr:txBody>
    </xdr:sp>
    <xdr:clientData/>
  </xdr:twoCellAnchor>
  <xdr:twoCellAnchor>
    <xdr:from>
      <xdr:col>14</xdr:col>
      <xdr:colOff>237490</xdr:colOff>
      <xdr:row>1</xdr:row>
      <xdr:rowOff>10048</xdr:rowOff>
    </xdr:from>
    <xdr:to>
      <xdr:col>16</xdr:col>
      <xdr:colOff>480483</xdr:colOff>
      <xdr:row>1</xdr:row>
      <xdr:rowOff>644689</xdr:rowOff>
    </xdr:to>
    <xdr:sp macro="[0]!Sheet9.unhi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303490" y="200548"/>
          <a:ext cx="1449493" cy="634641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UNHIDE</a:t>
          </a:r>
        </a:p>
      </xdr:txBody>
    </xdr:sp>
    <xdr:clientData/>
  </xdr:twoCellAnchor>
  <xdr:twoCellAnchor editAs="oneCell">
    <xdr:from>
      <xdr:col>3</xdr:col>
      <xdr:colOff>140073</xdr:colOff>
      <xdr:row>2</xdr:row>
      <xdr:rowOff>210110</xdr:rowOff>
    </xdr:from>
    <xdr:to>
      <xdr:col>4</xdr:col>
      <xdr:colOff>690282</xdr:colOff>
      <xdr:row>6</xdr:row>
      <xdr:rowOff>129988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73" y="1232647"/>
          <a:ext cx="914400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15</xdr:col>
      <xdr:colOff>62787</xdr:colOff>
      <xdr:row>6</xdr:row>
      <xdr:rowOff>285883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656320" y="960120"/>
          <a:ext cx="1342947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190501</xdr:colOff>
      <xdr:row>0</xdr:row>
      <xdr:rowOff>152401</xdr:rowOff>
    </xdr:from>
    <xdr:to>
      <xdr:col>1</xdr:col>
      <xdr:colOff>762001</xdr:colOff>
      <xdr:row>4</xdr:row>
      <xdr:rowOff>85726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52401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dninja@konohagaku.r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5:L20"/>
  <sheetViews>
    <sheetView showGridLines="0" zoomScale="92" workbookViewId="0">
      <selection activeCell="X10" sqref="X10"/>
    </sheetView>
  </sheetViews>
  <sheetFormatPr defaultRowHeight="14.4" x14ac:dyDescent="0.3"/>
  <sheetData>
    <row r="15" spans="2:12" ht="21" x14ac:dyDescent="0.4">
      <c r="B15" s="182" t="s">
        <v>741</v>
      </c>
      <c r="C15" s="182"/>
      <c r="D15" s="182"/>
      <c r="E15" s="182"/>
      <c r="F15" s="182"/>
      <c r="G15" s="182"/>
      <c r="H15" s="182"/>
      <c r="I15" s="182"/>
      <c r="J15" s="182"/>
      <c r="K15" s="182"/>
      <c r="L15" s="19"/>
    </row>
    <row r="16" spans="2:12" ht="41.4" customHeight="1" x14ac:dyDescent="0.4">
      <c r="B16" s="180" t="s">
        <v>576</v>
      </c>
      <c r="C16" s="180"/>
      <c r="D16" s="180"/>
      <c r="E16" s="180"/>
      <c r="F16" s="180"/>
      <c r="G16" s="180"/>
      <c r="H16" s="180"/>
      <c r="I16" s="180"/>
      <c r="J16" s="180"/>
      <c r="K16" s="180"/>
      <c r="L16" s="42"/>
    </row>
    <row r="17" spans="2:12" ht="36.6" x14ac:dyDescent="0.7">
      <c r="B17" s="181" t="s">
        <v>742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43"/>
    </row>
    <row r="18" spans="2:12" x14ac:dyDescent="0.3">
      <c r="B18" t="s">
        <v>579</v>
      </c>
    </row>
    <row r="19" spans="2:12" x14ac:dyDescent="0.3">
      <c r="B19" t="s">
        <v>580</v>
      </c>
    </row>
    <row r="20" spans="2:12" x14ac:dyDescent="0.3">
      <c r="B20" t="s">
        <v>581</v>
      </c>
    </row>
  </sheetData>
  <sheetProtection password="E5C3" sheet="1" objects="1" scenarios="1"/>
  <mergeCells count="3">
    <mergeCell ref="B16:K16"/>
    <mergeCell ref="B17:K17"/>
    <mergeCell ref="B15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K503"/>
  <sheetViews>
    <sheetView showGridLines="0" zoomScale="59" zoomScaleNormal="70" workbookViewId="0">
      <selection activeCell="K16" sqref="K16"/>
    </sheetView>
  </sheetViews>
  <sheetFormatPr defaultColWidth="8.88671875" defaultRowHeight="28.8" x14ac:dyDescent="0.55000000000000004"/>
  <cols>
    <col min="1" max="1" width="8.88671875" style="4"/>
    <col min="2" max="2" width="57.44140625" style="4" customWidth="1"/>
    <col min="3" max="3" width="2.5546875" style="4" customWidth="1"/>
    <col min="4" max="4" width="57.44140625" style="4" bestFit="1" customWidth="1"/>
    <col min="5" max="6" width="4.109375" style="4" customWidth="1"/>
    <col min="7" max="7" width="4.109375" style="4" hidden="1" customWidth="1"/>
    <col min="8" max="8" width="4.109375" style="4" customWidth="1"/>
    <col min="9" max="9" width="36.5546875" style="4" customWidth="1"/>
    <col min="10" max="10" width="38.33203125" style="4" customWidth="1"/>
    <col min="11" max="11" width="103.44140625" style="4" customWidth="1"/>
    <col min="12" max="16384" width="8.88671875" style="4"/>
  </cols>
  <sheetData>
    <row r="1" spans="2:11" ht="29.4" thickBot="1" x14ac:dyDescent="0.6"/>
    <row r="2" spans="2:11" ht="29.4" thickTop="1" x14ac:dyDescent="0.55000000000000004">
      <c r="B2" s="7" t="s">
        <v>521</v>
      </c>
      <c r="C2" s="5" t="s">
        <v>55</v>
      </c>
      <c r="D2" s="28" t="s">
        <v>711</v>
      </c>
      <c r="G2" s="4" t="s">
        <v>6</v>
      </c>
      <c r="I2" s="92" t="s">
        <v>584</v>
      </c>
      <c r="J2" s="93" t="s">
        <v>586</v>
      </c>
      <c r="K2" s="94" t="s">
        <v>585</v>
      </c>
    </row>
    <row r="3" spans="2:11" hidden="1" x14ac:dyDescent="0.55000000000000004">
      <c r="B3" s="8" t="s">
        <v>528</v>
      </c>
      <c r="C3" s="4" t="s">
        <v>55</v>
      </c>
      <c r="D3" s="29" t="s">
        <v>559</v>
      </c>
      <c r="I3" s="82"/>
      <c r="J3" s="81"/>
      <c r="K3" s="83"/>
    </row>
    <row r="4" spans="2:11" x14ac:dyDescent="0.55000000000000004">
      <c r="B4" s="8" t="s">
        <v>522</v>
      </c>
      <c r="C4" s="4" t="s">
        <v>55</v>
      </c>
      <c r="D4" s="29" t="s">
        <v>712</v>
      </c>
      <c r="G4" s="4" t="s">
        <v>7</v>
      </c>
      <c r="I4" s="82" t="s">
        <v>723</v>
      </c>
      <c r="J4" s="95" t="s">
        <v>728</v>
      </c>
      <c r="K4" s="83" t="s">
        <v>725</v>
      </c>
    </row>
    <row r="5" spans="2:11" x14ac:dyDescent="0.55000000000000004">
      <c r="B5" s="8" t="s">
        <v>523</v>
      </c>
      <c r="C5" s="4" t="s">
        <v>55</v>
      </c>
      <c r="D5" s="179" t="s">
        <v>714</v>
      </c>
      <c r="G5" s="4" t="s">
        <v>8</v>
      </c>
      <c r="I5" s="82" t="s">
        <v>726</v>
      </c>
      <c r="J5" s="95" t="s">
        <v>727</v>
      </c>
      <c r="K5" s="83" t="s">
        <v>725</v>
      </c>
    </row>
    <row r="6" spans="2:11" x14ac:dyDescent="0.55000000000000004">
      <c r="B6" s="8" t="s">
        <v>524</v>
      </c>
      <c r="C6" s="4" t="s">
        <v>55</v>
      </c>
      <c r="D6" s="29" t="s">
        <v>713</v>
      </c>
      <c r="G6" s="4" t="s">
        <v>9</v>
      </c>
      <c r="I6" s="82" t="s">
        <v>721</v>
      </c>
      <c r="J6" s="95" t="s">
        <v>722</v>
      </c>
      <c r="K6" s="83" t="s">
        <v>724</v>
      </c>
    </row>
    <row r="7" spans="2:11" x14ac:dyDescent="0.55000000000000004">
      <c r="B7" s="8" t="s">
        <v>525</v>
      </c>
      <c r="C7" s="4" t="s">
        <v>55</v>
      </c>
      <c r="D7" s="178" t="s">
        <v>715</v>
      </c>
      <c r="G7" s="4" t="s">
        <v>10</v>
      </c>
      <c r="I7" s="82" t="s">
        <v>729</v>
      </c>
      <c r="J7" s="95" t="s">
        <v>730</v>
      </c>
      <c r="K7" s="83" t="s">
        <v>731</v>
      </c>
    </row>
    <row r="8" spans="2:11" x14ac:dyDescent="0.55000000000000004">
      <c r="B8" s="8" t="s">
        <v>527</v>
      </c>
      <c r="C8" s="4" t="s">
        <v>55</v>
      </c>
      <c r="D8" s="30" t="s">
        <v>634</v>
      </c>
      <c r="I8" s="82"/>
      <c r="J8" s="95"/>
      <c r="K8" s="83"/>
    </row>
    <row r="9" spans="2:11" x14ac:dyDescent="0.55000000000000004">
      <c r="B9" s="8" t="s">
        <v>526</v>
      </c>
      <c r="C9" s="4" t="s">
        <v>55</v>
      </c>
      <c r="D9" s="109">
        <v>2024</v>
      </c>
      <c r="G9" s="4" t="s">
        <v>11</v>
      </c>
      <c r="I9" s="82"/>
      <c r="J9" s="95"/>
      <c r="K9" s="83"/>
    </row>
    <row r="10" spans="2:11" x14ac:dyDescent="0.55000000000000004">
      <c r="B10" s="8" t="s">
        <v>601</v>
      </c>
      <c r="C10" s="4" t="s">
        <v>55</v>
      </c>
      <c r="D10" s="110" t="s">
        <v>716</v>
      </c>
      <c r="G10" s="4" t="s">
        <v>12</v>
      </c>
      <c r="I10" s="82"/>
      <c r="J10" s="81"/>
      <c r="K10" s="83"/>
    </row>
    <row r="11" spans="2:11" ht="29.4" thickBot="1" x14ac:dyDescent="0.6">
      <c r="B11" s="9" t="s">
        <v>602</v>
      </c>
      <c r="C11" s="6" t="s">
        <v>55</v>
      </c>
      <c r="D11" s="111" t="s">
        <v>717</v>
      </c>
      <c r="G11" s="4" t="s">
        <v>13</v>
      </c>
      <c r="I11" s="82"/>
      <c r="J11" s="81"/>
      <c r="K11" s="83"/>
    </row>
    <row r="12" spans="2:11" ht="29.4" thickTop="1" x14ac:dyDescent="0.55000000000000004">
      <c r="G12" s="4" t="s">
        <v>62</v>
      </c>
      <c r="I12" s="82"/>
      <c r="J12" s="81"/>
      <c r="K12" s="83"/>
    </row>
    <row r="13" spans="2:11" x14ac:dyDescent="0.55000000000000004">
      <c r="G13" s="4" t="s">
        <v>14</v>
      </c>
      <c r="I13" s="82"/>
      <c r="J13" s="81"/>
      <c r="K13" s="83"/>
    </row>
    <row r="14" spans="2:11" ht="32.4" customHeight="1" x14ac:dyDescent="0.55000000000000004">
      <c r="B14" s="19"/>
      <c r="G14" s="4" t="s">
        <v>15</v>
      </c>
      <c r="I14" s="82"/>
      <c r="J14" s="81"/>
      <c r="K14" s="83"/>
    </row>
    <row r="15" spans="2:11" ht="32.4" customHeight="1" thickBot="1" x14ac:dyDescent="0.6">
      <c r="B15" s="19"/>
      <c r="C15" s="19"/>
      <c r="D15" s="19"/>
      <c r="G15" s="4" t="s">
        <v>63</v>
      </c>
      <c r="I15" s="82"/>
      <c r="J15" s="81"/>
      <c r="K15" s="83"/>
    </row>
    <row r="16" spans="2:11" ht="32.4" customHeight="1" thickTop="1" x14ac:dyDescent="0.55000000000000004">
      <c r="B16" s="124" t="s">
        <v>608</v>
      </c>
      <c r="C16" s="125"/>
      <c r="D16" s="126" t="s">
        <v>605</v>
      </c>
      <c r="G16" s="4" t="s">
        <v>64</v>
      </c>
      <c r="I16" s="82"/>
      <c r="J16" s="81"/>
      <c r="K16" s="83"/>
    </row>
    <row r="17" spans="2:11" ht="32.4" customHeight="1" x14ac:dyDescent="0.55000000000000004">
      <c r="B17" s="113" t="str">
        <f>D4</f>
        <v>Shikamaru, S.Pd.</v>
      </c>
      <c r="C17" s="120"/>
      <c r="D17" s="175" t="str">
        <f>D5</f>
        <v>012611</v>
      </c>
      <c r="G17" s="4" t="s">
        <v>16</v>
      </c>
      <c r="I17" s="82"/>
      <c r="J17" s="81"/>
      <c r="K17" s="83"/>
    </row>
    <row r="18" spans="2:11" ht="32.4" customHeight="1" x14ac:dyDescent="0.55000000000000004">
      <c r="B18" s="114" t="str">
        <f>D6</f>
        <v>Temari, S.Pd.</v>
      </c>
      <c r="C18" s="121"/>
      <c r="D18" s="175" t="str">
        <f>D7</f>
        <v>53-004</v>
      </c>
      <c r="G18" s="4" t="s">
        <v>17</v>
      </c>
      <c r="I18" s="82"/>
      <c r="J18" s="81"/>
      <c r="K18" s="83"/>
    </row>
    <row r="19" spans="2:11" ht="32.4" customHeight="1" x14ac:dyDescent="0.55000000000000004">
      <c r="B19" s="114" t="s">
        <v>718</v>
      </c>
      <c r="C19" s="121"/>
      <c r="D19" s="175"/>
      <c r="G19" s="4" t="s">
        <v>18</v>
      </c>
      <c r="I19" s="82"/>
      <c r="J19" s="81"/>
      <c r="K19" s="83"/>
    </row>
    <row r="20" spans="2:11" ht="32.4" customHeight="1" x14ac:dyDescent="0.55000000000000004">
      <c r="B20" s="116" t="s">
        <v>719</v>
      </c>
      <c r="C20" s="122"/>
      <c r="D20" s="161"/>
      <c r="G20" s="4" t="s">
        <v>19</v>
      </c>
      <c r="I20" s="82"/>
      <c r="J20" s="81"/>
      <c r="K20" s="83"/>
    </row>
    <row r="21" spans="2:11" ht="32.4" customHeight="1" x14ac:dyDescent="0.55000000000000004">
      <c r="B21" s="116" t="s">
        <v>720</v>
      </c>
      <c r="C21" s="122"/>
      <c r="D21" s="161"/>
      <c r="G21" s="4" t="s">
        <v>20</v>
      </c>
      <c r="I21" s="82"/>
      <c r="J21" s="81"/>
      <c r="K21" s="83"/>
    </row>
    <row r="22" spans="2:11" x14ac:dyDescent="0.55000000000000004">
      <c r="B22" s="116"/>
      <c r="C22" s="122"/>
      <c r="D22" s="115"/>
      <c r="G22" s="4" t="s">
        <v>21</v>
      </c>
      <c r="I22" s="82"/>
      <c r="J22" s="81"/>
      <c r="K22" s="83"/>
    </row>
    <row r="23" spans="2:11" x14ac:dyDescent="0.55000000000000004">
      <c r="B23" s="116"/>
      <c r="C23" s="122"/>
      <c r="D23" s="115"/>
      <c r="G23" s="4" t="s">
        <v>22</v>
      </c>
      <c r="I23" s="82"/>
      <c r="J23" s="81"/>
      <c r="K23" s="83"/>
    </row>
    <row r="24" spans="2:11" x14ac:dyDescent="0.55000000000000004">
      <c r="B24" s="116"/>
      <c r="C24" s="122"/>
      <c r="D24" s="115"/>
      <c r="G24" s="4" t="s">
        <v>23</v>
      </c>
      <c r="I24" s="82"/>
      <c r="J24" s="81"/>
      <c r="K24" s="83"/>
    </row>
    <row r="25" spans="2:11" x14ac:dyDescent="0.55000000000000004">
      <c r="B25" s="116"/>
      <c r="C25" s="122"/>
      <c r="D25" s="115"/>
      <c r="G25" s="4" t="s">
        <v>24</v>
      </c>
      <c r="I25" s="82"/>
      <c r="J25" s="81"/>
      <c r="K25" s="83"/>
    </row>
    <row r="26" spans="2:11" x14ac:dyDescent="0.55000000000000004">
      <c r="B26" s="116"/>
      <c r="C26" s="122"/>
      <c r="D26" s="115"/>
      <c r="G26" s="4" t="s">
        <v>25</v>
      </c>
      <c r="I26" s="82"/>
      <c r="J26" s="81"/>
      <c r="K26" s="83"/>
    </row>
    <row r="27" spans="2:11" x14ac:dyDescent="0.55000000000000004">
      <c r="B27" s="116"/>
      <c r="C27" s="122"/>
      <c r="D27" s="115"/>
      <c r="G27" s="4" t="s">
        <v>26</v>
      </c>
      <c r="I27" s="82"/>
      <c r="J27" s="81"/>
      <c r="K27" s="83"/>
    </row>
    <row r="28" spans="2:11" x14ac:dyDescent="0.55000000000000004">
      <c r="B28" s="116"/>
      <c r="C28" s="122"/>
      <c r="D28" s="115"/>
      <c r="G28" s="4" t="s">
        <v>27</v>
      </c>
      <c r="I28" s="82"/>
      <c r="J28" s="81"/>
      <c r="K28" s="83"/>
    </row>
    <row r="29" spans="2:11" x14ac:dyDescent="0.55000000000000004">
      <c r="B29" s="116"/>
      <c r="C29" s="122"/>
      <c r="D29" s="115"/>
      <c r="G29" s="4" t="s">
        <v>28</v>
      </c>
      <c r="I29" s="82"/>
      <c r="J29" s="81"/>
      <c r="K29" s="83"/>
    </row>
    <row r="30" spans="2:11" x14ac:dyDescent="0.55000000000000004">
      <c r="B30" s="116"/>
      <c r="C30" s="122"/>
      <c r="D30" s="115"/>
      <c r="G30" s="4" t="s">
        <v>29</v>
      </c>
      <c r="I30" s="82"/>
      <c r="J30" s="81"/>
      <c r="K30" s="83"/>
    </row>
    <row r="31" spans="2:11" x14ac:dyDescent="0.55000000000000004">
      <c r="B31" s="116"/>
      <c r="C31" s="122"/>
      <c r="D31" s="115"/>
      <c r="G31" s="4" t="s">
        <v>30</v>
      </c>
      <c r="I31" s="82"/>
      <c r="J31" s="81"/>
      <c r="K31" s="83"/>
    </row>
    <row r="32" spans="2:11" x14ac:dyDescent="0.55000000000000004">
      <c r="B32" s="116"/>
      <c r="C32" s="122"/>
      <c r="D32" s="115"/>
      <c r="G32" s="4" t="s">
        <v>31</v>
      </c>
      <c r="I32" s="82"/>
      <c r="J32" s="81"/>
      <c r="K32" s="83"/>
    </row>
    <row r="33" spans="2:11" x14ac:dyDescent="0.55000000000000004">
      <c r="B33" s="116"/>
      <c r="C33" s="122"/>
      <c r="D33" s="115"/>
      <c r="G33" s="4" t="s">
        <v>32</v>
      </c>
      <c r="I33" s="82"/>
      <c r="J33" s="81"/>
      <c r="K33" s="83"/>
    </row>
    <row r="34" spans="2:11" x14ac:dyDescent="0.55000000000000004">
      <c r="B34" s="116"/>
      <c r="C34" s="122"/>
      <c r="D34" s="115"/>
      <c r="G34" s="4" t="s">
        <v>33</v>
      </c>
      <c r="I34" s="82"/>
      <c r="J34" s="81"/>
      <c r="K34" s="83"/>
    </row>
    <row r="35" spans="2:11" x14ac:dyDescent="0.55000000000000004">
      <c r="B35" s="116"/>
      <c r="C35" s="122"/>
      <c r="D35" s="115"/>
      <c r="G35" s="4" t="s">
        <v>34</v>
      </c>
      <c r="I35" s="82"/>
      <c r="J35" s="81"/>
      <c r="K35" s="83"/>
    </row>
    <row r="36" spans="2:11" x14ac:dyDescent="0.55000000000000004">
      <c r="B36" s="116"/>
      <c r="C36" s="122"/>
      <c r="D36" s="115"/>
      <c r="G36" s="4" t="s">
        <v>35</v>
      </c>
      <c r="I36" s="82"/>
      <c r="J36" s="81"/>
      <c r="K36" s="83"/>
    </row>
    <row r="37" spans="2:11" x14ac:dyDescent="0.55000000000000004">
      <c r="B37" s="116"/>
      <c r="C37" s="122"/>
      <c r="D37" s="115"/>
      <c r="G37" s="4" t="s">
        <v>36</v>
      </c>
      <c r="I37" s="82"/>
      <c r="J37" s="81"/>
      <c r="K37" s="83"/>
    </row>
    <row r="38" spans="2:11" x14ac:dyDescent="0.55000000000000004">
      <c r="B38" s="116"/>
      <c r="C38" s="122"/>
      <c r="D38" s="115"/>
      <c r="G38" s="4" t="s">
        <v>37</v>
      </c>
      <c r="I38" s="82"/>
      <c r="J38" s="81"/>
      <c r="K38" s="83"/>
    </row>
    <row r="39" spans="2:11" x14ac:dyDescent="0.55000000000000004">
      <c r="B39" s="116"/>
      <c r="C39" s="122"/>
      <c r="D39" s="115"/>
      <c r="G39" s="4" t="s">
        <v>38</v>
      </c>
      <c r="I39" s="82"/>
      <c r="J39" s="81"/>
      <c r="K39" s="83"/>
    </row>
    <row r="40" spans="2:11" x14ac:dyDescent="0.55000000000000004">
      <c r="B40" s="116"/>
      <c r="C40" s="122"/>
      <c r="D40" s="115"/>
      <c r="G40" s="4" t="s">
        <v>39</v>
      </c>
      <c r="I40" s="82"/>
      <c r="J40" s="81"/>
      <c r="K40" s="83"/>
    </row>
    <row r="41" spans="2:11" x14ac:dyDescent="0.55000000000000004">
      <c r="B41" s="116"/>
      <c r="C41" s="122"/>
      <c r="D41" s="115"/>
      <c r="G41" s="4" t="s">
        <v>40</v>
      </c>
      <c r="I41" s="82"/>
      <c r="J41" s="81"/>
      <c r="K41" s="83"/>
    </row>
    <row r="42" spans="2:11" x14ac:dyDescent="0.55000000000000004">
      <c r="B42" s="116"/>
      <c r="C42" s="122"/>
      <c r="D42" s="115"/>
      <c r="G42" s="4" t="s">
        <v>41</v>
      </c>
      <c r="I42" s="82"/>
      <c r="J42" s="81"/>
      <c r="K42" s="83"/>
    </row>
    <row r="43" spans="2:11" x14ac:dyDescent="0.55000000000000004">
      <c r="B43" s="116"/>
      <c r="C43" s="122"/>
      <c r="D43" s="115"/>
      <c r="G43" s="4" t="s">
        <v>42</v>
      </c>
      <c r="I43" s="82"/>
      <c r="J43" s="81"/>
      <c r="K43" s="83"/>
    </row>
    <row r="44" spans="2:11" ht="29.4" thickBot="1" x14ac:dyDescent="0.6">
      <c r="B44" s="117" t="s">
        <v>587</v>
      </c>
      <c r="C44" s="123"/>
      <c r="D44" s="118" t="s">
        <v>587</v>
      </c>
      <c r="G44" s="4" t="s">
        <v>43</v>
      </c>
      <c r="I44" s="82"/>
      <c r="J44" s="81"/>
      <c r="K44" s="83"/>
    </row>
    <row r="45" spans="2:11" ht="29.4" thickTop="1" x14ac:dyDescent="0.55000000000000004">
      <c r="B45" s="119"/>
      <c r="C45" s="119"/>
      <c r="D45" s="119"/>
      <c r="G45" s="4" t="s">
        <v>44</v>
      </c>
      <c r="I45" s="82"/>
      <c r="J45" s="81"/>
      <c r="K45" s="83"/>
    </row>
    <row r="46" spans="2:11" x14ac:dyDescent="0.55000000000000004">
      <c r="G46" s="4" t="s">
        <v>45</v>
      </c>
      <c r="I46" s="82"/>
      <c r="J46" s="81"/>
      <c r="K46" s="83"/>
    </row>
    <row r="47" spans="2:11" x14ac:dyDescent="0.55000000000000004">
      <c r="G47" s="4" t="s">
        <v>46</v>
      </c>
      <c r="I47" s="82"/>
      <c r="J47" s="81"/>
      <c r="K47" s="83"/>
    </row>
    <row r="48" spans="2:11" x14ac:dyDescent="0.55000000000000004">
      <c r="G48" s="4" t="s">
        <v>65</v>
      </c>
      <c r="I48" s="82"/>
      <c r="J48" s="81"/>
      <c r="K48" s="83"/>
    </row>
    <row r="49" spans="7:11" x14ac:dyDescent="0.55000000000000004">
      <c r="G49" s="4" t="s">
        <v>66</v>
      </c>
      <c r="I49" s="82"/>
      <c r="J49" s="81"/>
      <c r="K49" s="83"/>
    </row>
    <row r="50" spans="7:11" x14ac:dyDescent="0.55000000000000004">
      <c r="G50" s="4" t="s">
        <v>67</v>
      </c>
      <c r="I50" s="82"/>
      <c r="J50" s="81"/>
      <c r="K50" s="83"/>
    </row>
    <row r="51" spans="7:11" x14ac:dyDescent="0.55000000000000004">
      <c r="G51" s="4" t="s">
        <v>68</v>
      </c>
      <c r="I51" s="82"/>
      <c r="J51" s="81"/>
      <c r="K51" s="83"/>
    </row>
    <row r="52" spans="7:11" x14ac:dyDescent="0.55000000000000004">
      <c r="G52" s="4" t="s">
        <v>69</v>
      </c>
      <c r="I52" s="82"/>
      <c r="J52" s="81"/>
      <c r="K52" s="83"/>
    </row>
    <row r="53" spans="7:11" x14ac:dyDescent="0.55000000000000004">
      <c r="G53" s="4" t="s">
        <v>70</v>
      </c>
      <c r="I53" s="82"/>
      <c r="J53" s="81"/>
      <c r="K53" s="83"/>
    </row>
    <row r="54" spans="7:11" x14ac:dyDescent="0.55000000000000004">
      <c r="G54" s="4" t="s">
        <v>71</v>
      </c>
      <c r="I54" s="82"/>
      <c r="J54" s="81"/>
      <c r="K54" s="83"/>
    </row>
    <row r="55" spans="7:11" x14ac:dyDescent="0.55000000000000004">
      <c r="G55" s="4" t="s">
        <v>72</v>
      </c>
      <c r="I55" s="82"/>
      <c r="J55" s="81"/>
      <c r="K55" s="83"/>
    </row>
    <row r="56" spans="7:11" x14ac:dyDescent="0.55000000000000004">
      <c r="G56" s="4" t="s">
        <v>73</v>
      </c>
      <c r="I56" s="82"/>
      <c r="J56" s="81"/>
      <c r="K56" s="83"/>
    </row>
    <row r="57" spans="7:11" x14ac:dyDescent="0.55000000000000004">
      <c r="G57" s="4" t="s">
        <v>74</v>
      </c>
      <c r="I57" s="82"/>
      <c r="J57" s="81"/>
      <c r="K57" s="83"/>
    </row>
    <row r="58" spans="7:11" x14ac:dyDescent="0.55000000000000004">
      <c r="G58" s="4" t="s">
        <v>75</v>
      </c>
      <c r="I58" s="82"/>
      <c r="J58" s="81"/>
      <c r="K58" s="83"/>
    </row>
    <row r="59" spans="7:11" x14ac:dyDescent="0.55000000000000004">
      <c r="G59" s="4" t="s">
        <v>76</v>
      </c>
      <c r="I59" s="82"/>
      <c r="J59" s="81"/>
      <c r="K59" s="83"/>
    </row>
    <row r="60" spans="7:11" x14ac:dyDescent="0.55000000000000004">
      <c r="G60" s="4" t="s">
        <v>77</v>
      </c>
      <c r="I60" s="82"/>
      <c r="J60" s="81"/>
      <c r="K60" s="83"/>
    </row>
    <row r="61" spans="7:11" x14ac:dyDescent="0.55000000000000004">
      <c r="G61" s="4" t="s">
        <v>78</v>
      </c>
      <c r="I61" s="82"/>
      <c r="J61" s="81"/>
      <c r="K61" s="83"/>
    </row>
    <row r="62" spans="7:11" x14ac:dyDescent="0.55000000000000004">
      <c r="G62" s="4" t="s">
        <v>79</v>
      </c>
      <c r="I62" s="82"/>
      <c r="J62" s="81"/>
      <c r="K62" s="83"/>
    </row>
    <row r="63" spans="7:11" x14ac:dyDescent="0.55000000000000004">
      <c r="G63" s="4" t="s">
        <v>80</v>
      </c>
      <c r="I63" s="82"/>
      <c r="J63" s="81"/>
      <c r="K63" s="83"/>
    </row>
    <row r="64" spans="7:11" x14ac:dyDescent="0.55000000000000004">
      <c r="G64" s="4" t="s">
        <v>81</v>
      </c>
      <c r="I64" s="82"/>
      <c r="J64" s="81"/>
      <c r="K64" s="83"/>
    </row>
    <row r="65" spans="7:11" x14ac:dyDescent="0.55000000000000004">
      <c r="G65" s="4" t="s">
        <v>82</v>
      </c>
      <c r="I65" s="82"/>
      <c r="J65" s="81"/>
      <c r="K65" s="83"/>
    </row>
    <row r="66" spans="7:11" x14ac:dyDescent="0.55000000000000004">
      <c r="G66" s="4" t="s">
        <v>83</v>
      </c>
      <c r="I66" s="82"/>
      <c r="J66" s="81"/>
      <c r="K66" s="83"/>
    </row>
    <row r="67" spans="7:11" x14ac:dyDescent="0.55000000000000004">
      <c r="G67" s="4" t="s">
        <v>84</v>
      </c>
      <c r="I67" s="82"/>
      <c r="J67" s="81"/>
      <c r="K67" s="83"/>
    </row>
    <row r="68" spans="7:11" x14ac:dyDescent="0.55000000000000004">
      <c r="G68" s="4" t="s">
        <v>85</v>
      </c>
      <c r="I68" s="82"/>
      <c r="J68" s="81"/>
      <c r="K68" s="83"/>
    </row>
    <row r="69" spans="7:11" x14ac:dyDescent="0.55000000000000004">
      <c r="G69" s="4" t="s">
        <v>86</v>
      </c>
      <c r="I69" s="82"/>
      <c r="J69" s="81"/>
      <c r="K69" s="83"/>
    </row>
    <row r="70" spans="7:11" x14ac:dyDescent="0.55000000000000004">
      <c r="G70" s="4" t="s">
        <v>87</v>
      </c>
      <c r="I70" s="82"/>
      <c r="J70" s="81"/>
      <c r="K70" s="83"/>
    </row>
    <row r="71" spans="7:11" x14ac:dyDescent="0.55000000000000004">
      <c r="G71" s="4" t="s">
        <v>88</v>
      </c>
      <c r="I71" s="82"/>
      <c r="J71" s="81"/>
      <c r="K71" s="83"/>
    </row>
    <row r="72" spans="7:11" x14ac:dyDescent="0.55000000000000004">
      <c r="G72" s="4" t="s">
        <v>89</v>
      </c>
      <c r="I72" s="82"/>
      <c r="J72" s="81"/>
      <c r="K72" s="83"/>
    </row>
    <row r="73" spans="7:11" x14ac:dyDescent="0.55000000000000004">
      <c r="G73" s="4" t="s">
        <v>90</v>
      </c>
      <c r="I73" s="82"/>
      <c r="J73" s="81"/>
      <c r="K73" s="83"/>
    </row>
    <row r="74" spans="7:11" x14ac:dyDescent="0.55000000000000004">
      <c r="G74" s="4" t="s">
        <v>91</v>
      </c>
      <c r="I74" s="82"/>
      <c r="J74" s="81"/>
      <c r="K74" s="83"/>
    </row>
    <row r="75" spans="7:11" x14ac:dyDescent="0.55000000000000004">
      <c r="G75" s="4" t="s">
        <v>92</v>
      </c>
      <c r="I75" s="82"/>
      <c r="J75" s="81"/>
      <c r="K75" s="83"/>
    </row>
    <row r="76" spans="7:11" x14ac:dyDescent="0.55000000000000004">
      <c r="G76" s="4" t="s">
        <v>93</v>
      </c>
      <c r="I76" s="82"/>
      <c r="J76" s="81"/>
      <c r="K76" s="83"/>
    </row>
    <row r="77" spans="7:11" x14ac:dyDescent="0.55000000000000004">
      <c r="G77" s="4" t="s">
        <v>94</v>
      </c>
      <c r="I77" s="82"/>
      <c r="J77" s="81"/>
      <c r="K77" s="83"/>
    </row>
    <row r="78" spans="7:11" x14ac:dyDescent="0.55000000000000004">
      <c r="G78" s="4" t="s">
        <v>95</v>
      </c>
      <c r="I78" s="82"/>
      <c r="J78" s="81"/>
      <c r="K78" s="83"/>
    </row>
    <row r="79" spans="7:11" x14ac:dyDescent="0.55000000000000004">
      <c r="G79" s="4" t="s">
        <v>96</v>
      </c>
      <c r="I79" s="82"/>
      <c r="J79" s="81"/>
      <c r="K79" s="83"/>
    </row>
    <row r="80" spans="7:11" x14ac:dyDescent="0.55000000000000004">
      <c r="G80" s="4" t="s">
        <v>97</v>
      </c>
      <c r="I80" s="82"/>
      <c r="J80" s="81"/>
      <c r="K80" s="83"/>
    </row>
    <row r="81" spans="7:11" x14ac:dyDescent="0.55000000000000004">
      <c r="G81" s="4" t="s">
        <v>98</v>
      </c>
      <c r="I81" s="82"/>
      <c r="J81" s="81"/>
      <c r="K81" s="83"/>
    </row>
    <row r="82" spans="7:11" x14ac:dyDescent="0.55000000000000004">
      <c r="G82" s="4" t="s">
        <v>99</v>
      </c>
      <c r="I82" s="82"/>
      <c r="J82" s="81"/>
      <c r="K82" s="83"/>
    </row>
    <row r="83" spans="7:11" x14ac:dyDescent="0.55000000000000004">
      <c r="G83" s="4" t="s">
        <v>100</v>
      </c>
      <c r="I83" s="82"/>
      <c r="J83" s="81"/>
      <c r="K83" s="83"/>
    </row>
    <row r="84" spans="7:11" x14ac:dyDescent="0.55000000000000004">
      <c r="G84" s="4" t="s">
        <v>101</v>
      </c>
      <c r="I84" s="82"/>
      <c r="J84" s="81"/>
      <c r="K84" s="83"/>
    </row>
    <row r="85" spans="7:11" x14ac:dyDescent="0.55000000000000004">
      <c r="G85" s="4" t="s">
        <v>102</v>
      </c>
      <c r="I85" s="82"/>
      <c r="J85" s="81"/>
      <c r="K85" s="83"/>
    </row>
    <row r="86" spans="7:11" x14ac:dyDescent="0.55000000000000004">
      <c r="G86" s="4" t="s">
        <v>103</v>
      </c>
      <c r="I86" s="82"/>
      <c r="J86" s="81"/>
      <c r="K86" s="83"/>
    </row>
    <row r="87" spans="7:11" x14ac:dyDescent="0.55000000000000004">
      <c r="G87" s="4" t="s">
        <v>104</v>
      </c>
      <c r="I87" s="82"/>
      <c r="J87" s="81"/>
      <c r="K87" s="83"/>
    </row>
    <row r="88" spans="7:11" x14ac:dyDescent="0.55000000000000004">
      <c r="G88" s="4" t="s">
        <v>105</v>
      </c>
      <c r="I88" s="82"/>
      <c r="J88" s="81"/>
      <c r="K88" s="83"/>
    </row>
    <row r="89" spans="7:11" x14ac:dyDescent="0.55000000000000004">
      <c r="G89" s="4" t="s">
        <v>106</v>
      </c>
      <c r="I89" s="82"/>
      <c r="J89" s="81"/>
      <c r="K89" s="83"/>
    </row>
    <row r="90" spans="7:11" x14ac:dyDescent="0.55000000000000004">
      <c r="G90" s="4" t="s">
        <v>107</v>
      </c>
      <c r="I90" s="82"/>
      <c r="J90" s="81"/>
      <c r="K90" s="83"/>
    </row>
    <row r="91" spans="7:11" x14ac:dyDescent="0.55000000000000004">
      <c r="G91" s="4" t="s">
        <v>108</v>
      </c>
      <c r="I91" s="82"/>
      <c r="J91" s="81"/>
      <c r="K91" s="83"/>
    </row>
    <row r="92" spans="7:11" x14ac:dyDescent="0.55000000000000004">
      <c r="G92" s="4" t="s">
        <v>109</v>
      </c>
      <c r="I92" s="82"/>
      <c r="J92" s="81"/>
      <c r="K92" s="83"/>
    </row>
    <row r="93" spans="7:11" x14ac:dyDescent="0.55000000000000004">
      <c r="G93" s="4" t="s">
        <v>110</v>
      </c>
      <c r="I93" s="82"/>
      <c r="J93" s="81"/>
      <c r="K93" s="83"/>
    </row>
    <row r="94" spans="7:11" x14ac:dyDescent="0.55000000000000004">
      <c r="G94" s="4" t="s">
        <v>111</v>
      </c>
      <c r="I94" s="82"/>
      <c r="J94" s="81"/>
      <c r="K94" s="83"/>
    </row>
    <row r="95" spans="7:11" x14ac:dyDescent="0.55000000000000004">
      <c r="G95" s="4" t="s">
        <v>112</v>
      </c>
      <c r="I95" s="82"/>
      <c r="J95" s="81"/>
      <c r="K95" s="83"/>
    </row>
    <row r="96" spans="7:11" x14ac:dyDescent="0.55000000000000004">
      <c r="G96" s="4" t="s">
        <v>113</v>
      </c>
      <c r="I96" s="82"/>
      <c r="J96" s="81"/>
      <c r="K96" s="83"/>
    </row>
    <row r="97" spans="7:11" x14ac:dyDescent="0.55000000000000004">
      <c r="G97" s="4" t="s">
        <v>114</v>
      </c>
      <c r="I97" s="82"/>
      <c r="J97" s="81"/>
      <c r="K97" s="83"/>
    </row>
    <row r="98" spans="7:11" x14ac:dyDescent="0.55000000000000004">
      <c r="G98" s="4" t="s">
        <v>115</v>
      </c>
      <c r="I98" s="82"/>
      <c r="J98" s="81"/>
      <c r="K98" s="83"/>
    </row>
    <row r="99" spans="7:11" x14ac:dyDescent="0.55000000000000004">
      <c r="G99" s="4" t="s">
        <v>116</v>
      </c>
      <c r="I99" s="82"/>
      <c r="J99" s="81"/>
      <c r="K99" s="83"/>
    </row>
    <row r="100" spans="7:11" x14ac:dyDescent="0.55000000000000004">
      <c r="G100" s="4" t="s">
        <v>117</v>
      </c>
      <c r="I100" s="82"/>
      <c r="J100" s="81"/>
      <c r="K100" s="83"/>
    </row>
    <row r="101" spans="7:11" x14ac:dyDescent="0.55000000000000004">
      <c r="G101" s="4" t="s">
        <v>118</v>
      </c>
      <c r="I101" s="82"/>
      <c r="J101" s="81"/>
      <c r="K101" s="83"/>
    </row>
    <row r="102" spans="7:11" x14ac:dyDescent="0.55000000000000004">
      <c r="G102" s="4" t="s">
        <v>119</v>
      </c>
      <c r="I102" s="82"/>
      <c r="J102" s="81"/>
      <c r="K102" s="83"/>
    </row>
    <row r="103" spans="7:11" x14ac:dyDescent="0.55000000000000004">
      <c r="G103" s="4" t="s">
        <v>120</v>
      </c>
      <c r="I103" s="82"/>
      <c r="J103" s="81"/>
      <c r="K103" s="83"/>
    </row>
    <row r="104" spans="7:11" x14ac:dyDescent="0.55000000000000004">
      <c r="G104" s="4" t="s">
        <v>121</v>
      </c>
      <c r="I104" s="82"/>
      <c r="J104" s="81"/>
      <c r="K104" s="83"/>
    </row>
    <row r="105" spans="7:11" x14ac:dyDescent="0.55000000000000004">
      <c r="G105" s="4" t="s">
        <v>122</v>
      </c>
      <c r="I105" s="82"/>
      <c r="J105" s="81"/>
      <c r="K105" s="83"/>
    </row>
    <row r="106" spans="7:11" x14ac:dyDescent="0.55000000000000004">
      <c r="G106" s="4" t="s">
        <v>123</v>
      </c>
      <c r="I106" s="82"/>
      <c r="J106" s="81"/>
      <c r="K106" s="83"/>
    </row>
    <row r="107" spans="7:11" x14ac:dyDescent="0.55000000000000004">
      <c r="G107" s="4" t="s">
        <v>124</v>
      </c>
      <c r="I107" s="82"/>
      <c r="J107" s="81"/>
      <c r="K107" s="83"/>
    </row>
    <row r="108" spans="7:11" x14ac:dyDescent="0.55000000000000004">
      <c r="G108" s="4" t="s">
        <v>125</v>
      </c>
      <c r="I108" s="82"/>
      <c r="J108" s="81"/>
      <c r="K108" s="83"/>
    </row>
    <row r="109" spans="7:11" x14ac:dyDescent="0.55000000000000004">
      <c r="G109" s="4" t="s">
        <v>126</v>
      </c>
      <c r="I109" s="82"/>
      <c r="J109" s="81"/>
      <c r="K109" s="83"/>
    </row>
    <row r="110" spans="7:11" x14ac:dyDescent="0.55000000000000004">
      <c r="G110" s="4" t="s">
        <v>127</v>
      </c>
      <c r="I110" s="82"/>
      <c r="J110" s="81"/>
      <c r="K110" s="83"/>
    </row>
    <row r="111" spans="7:11" x14ac:dyDescent="0.55000000000000004">
      <c r="G111" s="4" t="s">
        <v>128</v>
      </c>
      <c r="I111" s="82"/>
      <c r="J111" s="81"/>
      <c r="K111" s="83"/>
    </row>
    <row r="112" spans="7:11" x14ac:dyDescent="0.55000000000000004">
      <c r="G112" s="4" t="s">
        <v>129</v>
      </c>
      <c r="I112" s="82"/>
      <c r="J112" s="81"/>
      <c r="K112" s="83"/>
    </row>
    <row r="113" spans="7:11" x14ac:dyDescent="0.55000000000000004">
      <c r="G113" s="4" t="s">
        <v>130</v>
      </c>
      <c r="I113" s="82"/>
      <c r="J113" s="81"/>
      <c r="K113" s="83"/>
    </row>
    <row r="114" spans="7:11" x14ac:dyDescent="0.55000000000000004">
      <c r="G114" s="4" t="s">
        <v>131</v>
      </c>
      <c r="I114" s="82"/>
      <c r="J114" s="81"/>
      <c r="K114" s="83"/>
    </row>
    <row r="115" spans="7:11" x14ac:dyDescent="0.55000000000000004">
      <c r="G115" s="4" t="s">
        <v>132</v>
      </c>
      <c r="I115" s="82"/>
      <c r="J115" s="81"/>
      <c r="K115" s="83"/>
    </row>
    <row r="116" spans="7:11" x14ac:dyDescent="0.55000000000000004">
      <c r="G116" s="4" t="s">
        <v>133</v>
      </c>
      <c r="I116" s="82"/>
      <c r="J116" s="81"/>
      <c r="K116" s="83"/>
    </row>
    <row r="117" spans="7:11" x14ac:dyDescent="0.55000000000000004">
      <c r="G117" s="4" t="s">
        <v>134</v>
      </c>
      <c r="I117" s="82"/>
      <c r="J117" s="81"/>
      <c r="K117" s="83"/>
    </row>
    <row r="118" spans="7:11" x14ac:dyDescent="0.55000000000000004">
      <c r="G118" s="4" t="s">
        <v>135</v>
      </c>
      <c r="I118" s="82"/>
      <c r="J118" s="81"/>
      <c r="K118" s="83"/>
    </row>
    <row r="119" spans="7:11" x14ac:dyDescent="0.55000000000000004">
      <c r="G119" s="4" t="s">
        <v>136</v>
      </c>
      <c r="I119" s="82"/>
      <c r="J119" s="81"/>
      <c r="K119" s="83"/>
    </row>
    <row r="120" spans="7:11" x14ac:dyDescent="0.55000000000000004">
      <c r="G120" s="4" t="s">
        <v>137</v>
      </c>
      <c r="I120" s="82"/>
      <c r="J120" s="81"/>
      <c r="K120" s="83"/>
    </row>
    <row r="121" spans="7:11" x14ac:dyDescent="0.55000000000000004">
      <c r="G121" s="4" t="s">
        <v>138</v>
      </c>
      <c r="I121" s="82"/>
      <c r="J121" s="81"/>
      <c r="K121" s="83"/>
    </row>
    <row r="122" spans="7:11" x14ac:dyDescent="0.55000000000000004">
      <c r="G122" s="4" t="s">
        <v>139</v>
      </c>
      <c r="I122" s="82"/>
      <c r="J122" s="81"/>
      <c r="K122" s="83"/>
    </row>
    <row r="123" spans="7:11" x14ac:dyDescent="0.55000000000000004">
      <c r="G123" s="4" t="s">
        <v>140</v>
      </c>
      <c r="I123" s="82"/>
      <c r="J123" s="81"/>
      <c r="K123" s="83"/>
    </row>
    <row r="124" spans="7:11" x14ac:dyDescent="0.55000000000000004">
      <c r="G124" s="4" t="s">
        <v>141</v>
      </c>
      <c r="I124" s="82"/>
      <c r="J124" s="81"/>
      <c r="K124" s="83"/>
    </row>
    <row r="125" spans="7:11" x14ac:dyDescent="0.55000000000000004">
      <c r="G125" s="4" t="s">
        <v>142</v>
      </c>
      <c r="I125" s="82"/>
      <c r="J125" s="81"/>
      <c r="K125" s="83"/>
    </row>
    <row r="126" spans="7:11" x14ac:dyDescent="0.55000000000000004">
      <c r="G126" s="4" t="s">
        <v>143</v>
      </c>
      <c r="I126" s="82"/>
      <c r="J126" s="81"/>
      <c r="K126" s="83"/>
    </row>
    <row r="127" spans="7:11" x14ac:dyDescent="0.55000000000000004">
      <c r="G127" s="4" t="s">
        <v>144</v>
      </c>
      <c r="I127" s="82"/>
      <c r="J127" s="81"/>
      <c r="K127" s="83"/>
    </row>
    <row r="128" spans="7:11" x14ac:dyDescent="0.55000000000000004">
      <c r="G128" s="4" t="s">
        <v>145</v>
      </c>
      <c r="I128" s="82"/>
      <c r="J128" s="81"/>
      <c r="K128" s="83"/>
    </row>
    <row r="129" spans="7:11" x14ac:dyDescent="0.55000000000000004">
      <c r="G129" s="4" t="s">
        <v>146</v>
      </c>
      <c r="I129" s="82"/>
      <c r="J129" s="81"/>
      <c r="K129" s="83"/>
    </row>
    <row r="130" spans="7:11" x14ac:dyDescent="0.55000000000000004">
      <c r="G130" s="4" t="s">
        <v>147</v>
      </c>
      <c r="I130" s="82"/>
      <c r="J130" s="81"/>
      <c r="K130" s="83"/>
    </row>
    <row r="131" spans="7:11" x14ac:dyDescent="0.55000000000000004">
      <c r="G131" s="4" t="s">
        <v>148</v>
      </c>
      <c r="I131" s="82"/>
      <c r="J131" s="81"/>
      <c r="K131" s="83"/>
    </row>
    <row r="132" spans="7:11" x14ac:dyDescent="0.55000000000000004">
      <c r="G132" s="4" t="s">
        <v>149</v>
      </c>
      <c r="I132" s="82"/>
      <c r="J132" s="81"/>
      <c r="K132" s="83"/>
    </row>
    <row r="133" spans="7:11" x14ac:dyDescent="0.55000000000000004">
      <c r="G133" s="4" t="s">
        <v>150</v>
      </c>
      <c r="I133" s="82"/>
      <c r="J133" s="81"/>
      <c r="K133" s="83"/>
    </row>
    <row r="134" spans="7:11" x14ac:dyDescent="0.55000000000000004">
      <c r="G134" s="4" t="s">
        <v>151</v>
      </c>
      <c r="I134" s="82"/>
      <c r="J134" s="81"/>
      <c r="K134" s="83"/>
    </row>
    <row r="135" spans="7:11" x14ac:dyDescent="0.55000000000000004">
      <c r="G135" s="4" t="s">
        <v>152</v>
      </c>
      <c r="I135" s="82"/>
      <c r="J135" s="81"/>
      <c r="K135" s="83"/>
    </row>
    <row r="136" spans="7:11" x14ac:dyDescent="0.55000000000000004">
      <c r="G136" s="4" t="s">
        <v>153</v>
      </c>
      <c r="I136" s="82"/>
      <c r="J136" s="81"/>
      <c r="K136" s="83"/>
    </row>
    <row r="137" spans="7:11" x14ac:dyDescent="0.55000000000000004">
      <c r="G137" s="4" t="s">
        <v>154</v>
      </c>
      <c r="I137" s="82"/>
      <c r="J137" s="81"/>
      <c r="K137" s="83"/>
    </row>
    <row r="138" spans="7:11" x14ac:dyDescent="0.55000000000000004">
      <c r="G138" s="4" t="s">
        <v>155</v>
      </c>
      <c r="I138" s="82"/>
      <c r="J138" s="81"/>
      <c r="K138" s="83"/>
    </row>
    <row r="139" spans="7:11" x14ac:dyDescent="0.55000000000000004">
      <c r="G139" s="4" t="s">
        <v>156</v>
      </c>
      <c r="I139" s="82"/>
      <c r="J139" s="81"/>
      <c r="K139" s="83"/>
    </row>
    <row r="140" spans="7:11" x14ac:dyDescent="0.55000000000000004">
      <c r="G140" s="4" t="s">
        <v>157</v>
      </c>
      <c r="I140" s="82"/>
      <c r="J140" s="81"/>
      <c r="K140" s="83"/>
    </row>
    <row r="141" spans="7:11" x14ac:dyDescent="0.55000000000000004">
      <c r="G141" s="4" t="s">
        <v>158</v>
      </c>
      <c r="I141" s="82"/>
      <c r="J141" s="81"/>
      <c r="K141" s="83"/>
    </row>
    <row r="142" spans="7:11" x14ac:dyDescent="0.55000000000000004">
      <c r="G142" s="4" t="s">
        <v>159</v>
      </c>
      <c r="I142" s="82"/>
      <c r="J142" s="81"/>
      <c r="K142" s="83"/>
    </row>
    <row r="143" spans="7:11" x14ac:dyDescent="0.55000000000000004">
      <c r="G143" s="4" t="s">
        <v>160</v>
      </c>
      <c r="I143" s="82"/>
      <c r="J143" s="81"/>
      <c r="K143" s="83"/>
    </row>
    <row r="144" spans="7:11" x14ac:dyDescent="0.55000000000000004">
      <c r="G144" s="4" t="s">
        <v>161</v>
      </c>
      <c r="I144" s="82"/>
      <c r="J144" s="81"/>
      <c r="K144" s="83"/>
    </row>
    <row r="145" spans="7:11" x14ac:dyDescent="0.55000000000000004">
      <c r="G145" s="4" t="s">
        <v>162</v>
      </c>
      <c r="I145" s="82"/>
      <c r="J145" s="81"/>
      <c r="K145" s="83"/>
    </row>
    <row r="146" spans="7:11" x14ac:dyDescent="0.55000000000000004">
      <c r="G146" s="4" t="s">
        <v>163</v>
      </c>
      <c r="I146" s="82"/>
      <c r="J146" s="81"/>
      <c r="K146" s="83"/>
    </row>
    <row r="147" spans="7:11" x14ac:dyDescent="0.55000000000000004">
      <c r="G147" s="4" t="s">
        <v>164</v>
      </c>
      <c r="I147" s="82"/>
      <c r="J147" s="81"/>
      <c r="K147" s="83"/>
    </row>
    <row r="148" spans="7:11" x14ac:dyDescent="0.55000000000000004">
      <c r="G148" s="4" t="s">
        <v>165</v>
      </c>
      <c r="I148" s="82"/>
      <c r="J148" s="81"/>
      <c r="K148" s="83"/>
    </row>
    <row r="149" spans="7:11" x14ac:dyDescent="0.55000000000000004">
      <c r="G149" s="4" t="s">
        <v>166</v>
      </c>
      <c r="I149" s="82"/>
      <c r="J149" s="81"/>
      <c r="K149" s="83"/>
    </row>
    <row r="150" spans="7:11" x14ac:dyDescent="0.55000000000000004">
      <c r="G150" s="4" t="s">
        <v>167</v>
      </c>
      <c r="I150" s="82"/>
      <c r="J150" s="81"/>
      <c r="K150" s="83"/>
    </row>
    <row r="151" spans="7:11" x14ac:dyDescent="0.55000000000000004">
      <c r="G151" s="4" t="s">
        <v>168</v>
      </c>
      <c r="I151" s="82"/>
      <c r="J151" s="81"/>
      <c r="K151" s="83"/>
    </row>
    <row r="152" spans="7:11" x14ac:dyDescent="0.55000000000000004">
      <c r="G152" s="4" t="s">
        <v>169</v>
      </c>
      <c r="I152" s="82"/>
      <c r="J152" s="81"/>
      <c r="K152" s="83"/>
    </row>
    <row r="153" spans="7:11" x14ac:dyDescent="0.55000000000000004">
      <c r="G153" s="4" t="s">
        <v>170</v>
      </c>
      <c r="I153" s="82"/>
      <c r="J153" s="81"/>
      <c r="K153" s="83"/>
    </row>
    <row r="154" spans="7:11" x14ac:dyDescent="0.55000000000000004">
      <c r="G154" s="4" t="s">
        <v>171</v>
      </c>
      <c r="I154" s="82"/>
      <c r="J154" s="81"/>
      <c r="K154" s="83"/>
    </row>
    <row r="155" spans="7:11" x14ac:dyDescent="0.55000000000000004">
      <c r="G155" s="4" t="s">
        <v>172</v>
      </c>
      <c r="I155" s="82"/>
      <c r="J155" s="81"/>
      <c r="K155" s="83"/>
    </row>
    <row r="156" spans="7:11" x14ac:dyDescent="0.55000000000000004">
      <c r="G156" s="4" t="s">
        <v>173</v>
      </c>
      <c r="I156" s="82"/>
      <c r="J156" s="81"/>
      <c r="K156" s="83"/>
    </row>
    <row r="157" spans="7:11" x14ac:dyDescent="0.55000000000000004">
      <c r="G157" s="4" t="s">
        <v>174</v>
      </c>
      <c r="I157" s="82"/>
      <c r="J157" s="81"/>
      <c r="K157" s="83"/>
    </row>
    <row r="158" spans="7:11" x14ac:dyDescent="0.55000000000000004">
      <c r="G158" s="4" t="s">
        <v>175</v>
      </c>
      <c r="I158" s="82"/>
      <c r="J158" s="81"/>
      <c r="K158" s="83"/>
    </row>
    <row r="159" spans="7:11" x14ac:dyDescent="0.55000000000000004">
      <c r="G159" s="4" t="s">
        <v>176</v>
      </c>
      <c r="I159" s="82"/>
      <c r="J159" s="81"/>
      <c r="K159" s="83"/>
    </row>
    <row r="160" spans="7:11" x14ac:dyDescent="0.55000000000000004">
      <c r="G160" s="4" t="s">
        <v>177</v>
      </c>
      <c r="I160" s="82"/>
      <c r="J160" s="81"/>
      <c r="K160" s="83"/>
    </row>
    <row r="161" spans="7:11" x14ac:dyDescent="0.55000000000000004">
      <c r="G161" s="4" t="s">
        <v>178</v>
      </c>
      <c r="I161" s="82"/>
      <c r="J161" s="81"/>
      <c r="K161" s="83"/>
    </row>
    <row r="162" spans="7:11" x14ac:dyDescent="0.55000000000000004">
      <c r="G162" s="4" t="s">
        <v>179</v>
      </c>
      <c r="I162" s="82"/>
      <c r="J162" s="81"/>
      <c r="K162" s="83"/>
    </row>
    <row r="163" spans="7:11" x14ac:dyDescent="0.55000000000000004">
      <c r="G163" s="4" t="s">
        <v>180</v>
      </c>
      <c r="I163" s="82"/>
      <c r="J163" s="81"/>
      <c r="K163" s="83"/>
    </row>
    <row r="164" spans="7:11" x14ac:dyDescent="0.55000000000000004">
      <c r="G164" s="4" t="s">
        <v>181</v>
      </c>
      <c r="I164" s="82"/>
      <c r="J164" s="81"/>
      <c r="K164" s="83"/>
    </row>
    <row r="165" spans="7:11" x14ac:dyDescent="0.55000000000000004">
      <c r="G165" s="4" t="s">
        <v>182</v>
      </c>
      <c r="I165" s="82"/>
      <c r="J165" s="81"/>
      <c r="K165" s="83"/>
    </row>
    <row r="166" spans="7:11" x14ac:dyDescent="0.55000000000000004">
      <c r="G166" s="4" t="s">
        <v>183</v>
      </c>
      <c r="I166" s="82"/>
      <c r="J166" s="81"/>
      <c r="K166" s="83"/>
    </row>
    <row r="167" spans="7:11" x14ac:dyDescent="0.55000000000000004">
      <c r="G167" s="4" t="s">
        <v>184</v>
      </c>
      <c r="I167" s="82"/>
      <c r="J167" s="81"/>
      <c r="K167" s="83"/>
    </row>
    <row r="168" spans="7:11" x14ac:dyDescent="0.55000000000000004">
      <c r="G168" s="4" t="s">
        <v>185</v>
      </c>
      <c r="I168" s="82"/>
      <c r="J168" s="81"/>
      <c r="K168" s="83"/>
    </row>
    <row r="169" spans="7:11" x14ac:dyDescent="0.55000000000000004">
      <c r="G169" s="4" t="s">
        <v>186</v>
      </c>
      <c r="I169" s="82"/>
      <c r="J169" s="81"/>
      <c r="K169" s="83"/>
    </row>
    <row r="170" spans="7:11" x14ac:dyDescent="0.55000000000000004">
      <c r="G170" s="4" t="s">
        <v>187</v>
      </c>
      <c r="I170" s="82"/>
      <c r="J170" s="81"/>
      <c r="K170" s="83"/>
    </row>
    <row r="171" spans="7:11" x14ac:dyDescent="0.55000000000000004">
      <c r="G171" s="4" t="s">
        <v>188</v>
      </c>
      <c r="I171" s="82"/>
      <c r="J171" s="81"/>
      <c r="K171" s="83"/>
    </row>
    <row r="172" spans="7:11" x14ac:dyDescent="0.55000000000000004">
      <c r="G172" s="4" t="s">
        <v>189</v>
      </c>
      <c r="I172" s="82"/>
      <c r="J172" s="81"/>
      <c r="K172" s="83"/>
    </row>
    <row r="173" spans="7:11" x14ac:dyDescent="0.55000000000000004">
      <c r="G173" s="4" t="s">
        <v>190</v>
      </c>
      <c r="I173" s="82"/>
      <c r="J173" s="81"/>
      <c r="K173" s="83"/>
    </row>
    <row r="174" spans="7:11" x14ac:dyDescent="0.55000000000000004">
      <c r="G174" s="4" t="s">
        <v>191</v>
      </c>
      <c r="I174" s="82"/>
      <c r="J174" s="81"/>
      <c r="K174" s="83"/>
    </row>
    <row r="175" spans="7:11" x14ac:dyDescent="0.55000000000000004">
      <c r="G175" s="4" t="s">
        <v>192</v>
      </c>
      <c r="I175" s="82"/>
      <c r="J175" s="81"/>
      <c r="K175" s="83"/>
    </row>
    <row r="176" spans="7:11" x14ac:dyDescent="0.55000000000000004">
      <c r="G176" s="4" t="s">
        <v>193</v>
      </c>
      <c r="I176" s="82"/>
      <c r="J176" s="81"/>
      <c r="K176" s="83"/>
    </row>
    <row r="177" spans="7:11" x14ac:dyDescent="0.55000000000000004">
      <c r="G177" s="4" t="s">
        <v>194</v>
      </c>
      <c r="I177" s="82"/>
      <c r="J177" s="81"/>
      <c r="K177" s="83"/>
    </row>
    <row r="178" spans="7:11" x14ac:dyDescent="0.55000000000000004">
      <c r="G178" s="4" t="s">
        <v>195</v>
      </c>
      <c r="I178" s="82"/>
      <c r="J178" s="81"/>
      <c r="K178" s="83"/>
    </row>
    <row r="179" spans="7:11" x14ac:dyDescent="0.55000000000000004">
      <c r="G179" s="4" t="s">
        <v>196</v>
      </c>
      <c r="I179" s="82"/>
      <c r="J179" s="81"/>
      <c r="K179" s="83"/>
    </row>
    <row r="180" spans="7:11" x14ac:dyDescent="0.55000000000000004">
      <c r="G180" s="4" t="s">
        <v>197</v>
      </c>
      <c r="I180" s="82"/>
      <c r="J180" s="81"/>
      <c r="K180" s="83"/>
    </row>
    <row r="181" spans="7:11" x14ac:dyDescent="0.55000000000000004">
      <c r="G181" s="4" t="s">
        <v>198</v>
      </c>
      <c r="I181" s="82"/>
      <c r="J181" s="81"/>
      <c r="K181" s="83"/>
    </row>
    <row r="182" spans="7:11" x14ac:dyDescent="0.55000000000000004">
      <c r="G182" s="4" t="s">
        <v>199</v>
      </c>
      <c r="I182" s="82"/>
      <c r="J182" s="81"/>
      <c r="K182" s="83"/>
    </row>
    <row r="183" spans="7:11" x14ac:dyDescent="0.55000000000000004">
      <c r="G183" s="4" t="s">
        <v>200</v>
      </c>
      <c r="I183" s="82"/>
      <c r="J183" s="81"/>
      <c r="K183" s="83"/>
    </row>
    <row r="184" spans="7:11" x14ac:dyDescent="0.55000000000000004">
      <c r="G184" s="4" t="s">
        <v>201</v>
      </c>
      <c r="I184" s="82"/>
      <c r="J184" s="81"/>
      <c r="K184" s="83"/>
    </row>
    <row r="185" spans="7:11" x14ac:dyDescent="0.55000000000000004">
      <c r="G185" s="4" t="s">
        <v>202</v>
      </c>
      <c r="I185" s="82"/>
      <c r="J185" s="81"/>
      <c r="K185" s="83"/>
    </row>
    <row r="186" spans="7:11" x14ac:dyDescent="0.55000000000000004">
      <c r="G186" s="4" t="s">
        <v>203</v>
      </c>
      <c r="I186" s="82"/>
      <c r="J186" s="81"/>
      <c r="K186" s="83"/>
    </row>
    <row r="187" spans="7:11" x14ac:dyDescent="0.55000000000000004">
      <c r="G187" s="4" t="s">
        <v>204</v>
      </c>
      <c r="I187" s="82"/>
      <c r="J187" s="81"/>
      <c r="K187" s="83"/>
    </row>
    <row r="188" spans="7:11" x14ac:dyDescent="0.55000000000000004">
      <c r="G188" s="4" t="s">
        <v>205</v>
      </c>
      <c r="I188" s="82"/>
      <c r="J188" s="81"/>
      <c r="K188" s="83"/>
    </row>
    <row r="189" spans="7:11" x14ac:dyDescent="0.55000000000000004">
      <c r="G189" s="4" t="s">
        <v>206</v>
      </c>
      <c r="I189" s="82"/>
      <c r="J189" s="81"/>
      <c r="K189" s="83"/>
    </row>
    <row r="190" spans="7:11" x14ac:dyDescent="0.55000000000000004">
      <c r="G190" s="4" t="s">
        <v>207</v>
      </c>
      <c r="I190" s="82"/>
      <c r="J190" s="81"/>
      <c r="K190" s="83"/>
    </row>
    <row r="191" spans="7:11" x14ac:dyDescent="0.55000000000000004">
      <c r="G191" s="4" t="s">
        <v>208</v>
      </c>
      <c r="I191" s="82"/>
      <c r="J191" s="81"/>
      <c r="K191" s="83"/>
    </row>
    <row r="192" spans="7:11" x14ac:dyDescent="0.55000000000000004">
      <c r="G192" s="4" t="s">
        <v>209</v>
      </c>
      <c r="I192" s="82"/>
      <c r="J192" s="81"/>
      <c r="K192" s="83"/>
    </row>
    <row r="193" spans="7:11" x14ac:dyDescent="0.55000000000000004">
      <c r="G193" s="4" t="s">
        <v>210</v>
      </c>
      <c r="I193" s="82"/>
      <c r="J193" s="81"/>
      <c r="K193" s="83"/>
    </row>
    <row r="194" spans="7:11" x14ac:dyDescent="0.55000000000000004">
      <c r="G194" s="4" t="s">
        <v>211</v>
      </c>
      <c r="I194" s="82"/>
      <c r="J194" s="81"/>
      <c r="K194" s="83"/>
    </row>
    <row r="195" spans="7:11" x14ac:dyDescent="0.55000000000000004">
      <c r="G195" s="4" t="s">
        <v>212</v>
      </c>
      <c r="I195" s="82"/>
      <c r="J195" s="81"/>
      <c r="K195" s="83"/>
    </row>
    <row r="196" spans="7:11" x14ac:dyDescent="0.55000000000000004">
      <c r="G196" s="4" t="s">
        <v>213</v>
      </c>
      <c r="I196" s="82"/>
      <c r="J196" s="81"/>
      <c r="K196" s="83"/>
    </row>
    <row r="197" spans="7:11" x14ac:dyDescent="0.55000000000000004">
      <c r="G197" s="4" t="s">
        <v>214</v>
      </c>
      <c r="I197" s="82"/>
      <c r="J197" s="81"/>
      <c r="K197" s="83"/>
    </row>
    <row r="198" spans="7:11" x14ac:dyDescent="0.55000000000000004">
      <c r="G198" s="4" t="s">
        <v>215</v>
      </c>
      <c r="I198" s="82"/>
      <c r="J198" s="81"/>
      <c r="K198" s="83"/>
    </row>
    <row r="199" spans="7:11" x14ac:dyDescent="0.55000000000000004">
      <c r="G199" s="4" t="s">
        <v>216</v>
      </c>
      <c r="I199" s="82"/>
      <c r="J199" s="81"/>
      <c r="K199" s="83"/>
    </row>
    <row r="200" spans="7:11" x14ac:dyDescent="0.55000000000000004">
      <c r="G200" s="4" t="s">
        <v>217</v>
      </c>
      <c r="I200" s="82"/>
      <c r="J200" s="81"/>
      <c r="K200" s="83"/>
    </row>
    <row r="201" spans="7:11" x14ac:dyDescent="0.55000000000000004">
      <c r="G201" s="4" t="s">
        <v>218</v>
      </c>
      <c r="I201" s="82"/>
      <c r="J201" s="81"/>
      <c r="K201" s="83"/>
    </row>
    <row r="202" spans="7:11" x14ac:dyDescent="0.55000000000000004">
      <c r="G202" s="4" t="s">
        <v>219</v>
      </c>
      <c r="I202" s="82"/>
      <c r="J202" s="81"/>
      <c r="K202" s="83"/>
    </row>
    <row r="203" spans="7:11" x14ac:dyDescent="0.55000000000000004">
      <c r="G203" s="4" t="s">
        <v>220</v>
      </c>
      <c r="I203" s="82"/>
      <c r="J203" s="81"/>
      <c r="K203" s="83"/>
    </row>
    <row r="204" spans="7:11" x14ac:dyDescent="0.55000000000000004">
      <c r="G204" s="4" t="s">
        <v>221</v>
      </c>
      <c r="I204" s="82"/>
      <c r="J204" s="81"/>
      <c r="K204" s="83"/>
    </row>
    <row r="205" spans="7:11" x14ac:dyDescent="0.55000000000000004">
      <c r="G205" s="4" t="s">
        <v>222</v>
      </c>
      <c r="I205" s="82"/>
      <c r="J205" s="81"/>
      <c r="K205" s="83"/>
    </row>
    <row r="206" spans="7:11" x14ac:dyDescent="0.55000000000000004">
      <c r="G206" s="4" t="s">
        <v>223</v>
      </c>
      <c r="I206" s="82"/>
      <c r="J206" s="81"/>
      <c r="K206" s="83"/>
    </row>
    <row r="207" spans="7:11" x14ac:dyDescent="0.55000000000000004">
      <c r="G207" s="4" t="s">
        <v>224</v>
      </c>
      <c r="I207" s="82"/>
      <c r="J207" s="81"/>
      <c r="K207" s="83"/>
    </row>
    <row r="208" spans="7:11" x14ac:dyDescent="0.55000000000000004">
      <c r="G208" s="4" t="s">
        <v>225</v>
      </c>
      <c r="I208" s="82"/>
      <c r="J208" s="81"/>
      <c r="K208" s="83"/>
    </row>
    <row r="209" spans="7:11" x14ac:dyDescent="0.55000000000000004">
      <c r="G209" s="4" t="s">
        <v>226</v>
      </c>
      <c r="I209" s="82"/>
      <c r="J209" s="81"/>
      <c r="K209" s="83"/>
    </row>
    <row r="210" spans="7:11" x14ac:dyDescent="0.55000000000000004">
      <c r="G210" s="4" t="s">
        <v>227</v>
      </c>
      <c r="I210" s="82"/>
      <c r="J210" s="81"/>
      <c r="K210" s="83"/>
    </row>
    <row r="211" spans="7:11" x14ac:dyDescent="0.55000000000000004">
      <c r="G211" s="4" t="s">
        <v>228</v>
      </c>
      <c r="I211" s="82"/>
      <c r="J211" s="81"/>
      <c r="K211" s="83"/>
    </row>
    <row r="212" spans="7:11" x14ac:dyDescent="0.55000000000000004">
      <c r="G212" s="4" t="s">
        <v>229</v>
      </c>
      <c r="I212" s="82"/>
      <c r="J212" s="81"/>
      <c r="K212" s="83"/>
    </row>
    <row r="213" spans="7:11" x14ac:dyDescent="0.55000000000000004">
      <c r="G213" s="4" t="s">
        <v>230</v>
      </c>
      <c r="I213" s="82"/>
      <c r="J213" s="81"/>
      <c r="K213" s="83"/>
    </row>
    <row r="214" spans="7:11" x14ac:dyDescent="0.55000000000000004">
      <c r="G214" s="4" t="s">
        <v>231</v>
      </c>
      <c r="I214" s="82"/>
      <c r="J214" s="81"/>
      <c r="K214" s="83"/>
    </row>
    <row r="215" spans="7:11" x14ac:dyDescent="0.55000000000000004">
      <c r="G215" s="4" t="s">
        <v>232</v>
      </c>
      <c r="I215" s="82"/>
      <c r="J215" s="81"/>
      <c r="K215" s="83"/>
    </row>
    <row r="216" spans="7:11" x14ac:dyDescent="0.55000000000000004">
      <c r="G216" s="4" t="s">
        <v>233</v>
      </c>
      <c r="I216" s="82"/>
      <c r="J216" s="81"/>
      <c r="K216" s="83"/>
    </row>
    <row r="217" spans="7:11" ht="29.4" thickBot="1" x14ac:dyDescent="0.6">
      <c r="G217" s="4" t="s">
        <v>234</v>
      </c>
      <c r="I217" s="84" t="s">
        <v>587</v>
      </c>
      <c r="J217" s="85" t="s">
        <v>587</v>
      </c>
      <c r="K217" s="86" t="s">
        <v>587</v>
      </c>
    </row>
    <row r="218" spans="7:11" ht="29.4" thickTop="1" x14ac:dyDescent="0.55000000000000004">
      <c r="G218" s="4" t="s">
        <v>235</v>
      </c>
    </row>
    <row r="219" spans="7:11" x14ac:dyDescent="0.55000000000000004">
      <c r="G219" s="4" t="s">
        <v>236</v>
      </c>
    </row>
    <row r="220" spans="7:11" x14ac:dyDescent="0.55000000000000004">
      <c r="G220" s="4" t="s">
        <v>237</v>
      </c>
    </row>
    <row r="221" spans="7:11" x14ac:dyDescent="0.55000000000000004">
      <c r="G221" s="4" t="s">
        <v>238</v>
      </c>
    </row>
    <row r="222" spans="7:11" x14ac:dyDescent="0.55000000000000004">
      <c r="G222" s="4" t="s">
        <v>239</v>
      </c>
    </row>
    <row r="223" spans="7:11" x14ac:dyDescent="0.55000000000000004">
      <c r="G223" s="4" t="s">
        <v>240</v>
      </c>
    </row>
    <row r="224" spans="7:11" x14ac:dyDescent="0.55000000000000004">
      <c r="G224" s="4" t="s">
        <v>241</v>
      </c>
    </row>
    <row r="225" spans="7:7" x14ac:dyDescent="0.55000000000000004">
      <c r="G225" s="4" t="s">
        <v>242</v>
      </c>
    </row>
    <row r="226" spans="7:7" x14ac:dyDescent="0.55000000000000004">
      <c r="G226" s="4" t="s">
        <v>243</v>
      </c>
    </row>
    <row r="227" spans="7:7" x14ac:dyDescent="0.55000000000000004">
      <c r="G227" s="4" t="s">
        <v>244</v>
      </c>
    </row>
    <row r="228" spans="7:7" x14ac:dyDescent="0.55000000000000004">
      <c r="G228" s="4" t="s">
        <v>245</v>
      </c>
    </row>
    <row r="229" spans="7:7" x14ac:dyDescent="0.55000000000000004">
      <c r="G229" s="4" t="s">
        <v>246</v>
      </c>
    </row>
    <row r="230" spans="7:7" x14ac:dyDescent="0.55000000000000004">
      <c r="G230" s="4" t="s">
        <v>247</v>
      </c>
    </row>
    <row r="231" spans="7:7" x14ac:dyDescent="0.55000000000000004">
      <c r="G231" s="4" t="s">
        <v>248</v>
      </c>
    </row>
    <row r="232" spans="7:7" x14ac:dyDescent="0.55000000000000004">
      <c r="G232" s="4" t="s">
        <v>249</v>
      </c>
    </row>
    <row r="233" spans="7:7" x14ac:dyDescent="0.55000000000000004">
      <c r="G233" s="4" t="s">
        <v>250</v>
      </c>
    </row>
    <row r="234" spans="7:7" x14ac:dyDescent="0.55000000000000004">
      <c r="G234" s="4" t="s">
        <v>251</v>
      </c>
    </row>
    <row r="235" spans="7:7" x14ac:dyDescent="0.55000000000000004">
      <c r="G235" s="4" t="s">
        <v>252</v>
      </c>
    </row>
    <row r="236" spans="7:7" x14ac:dyDescent="0.55000000000000004">
      <c r="G236" s="4" t="s">
        <v>253</v>
      </c>
    </row>
    <row r="237" spans="7:7" x14ac:dyDescent="0.55000000000000004">
      <c r="G237" s="4" t="s">
        <v>254</v>
      </c>
    </row>
    <row r="238" spans="7:7" x14ac:dyDescent="0.55000000000000004">
      <c r="G238" s="4" t="s">
        <v>255</v>
      </c>
    </row>
    <row r="239" spans="7:7" x14ac:dyDescent="0.55000000000000004">
      <c r="G239" s="4" t="s">
        <v>256</v>
      </c>
    </row>
    <row r="240" spans="7:7" x14ac:dyDescent="0.55000000000000004">
      <c r="G240" s="4" t="s">
        <v>257</v>
      </c>
    </row>
    <row r="241" spans="7:7" x14ac:dyDescent="0.55000000000000004">
      <c r="G241" s="4" t="s">
        <v>258</v>
      </c>
    </row>
    <row r="242" spans="7:7" x14ac:dyDescent="0.55000000000000004">
      <c r="G242" s="4" t="s">
        <v>259</v>
      </c>
    </row>
    <row r="243" spans="7:7" x14ac:dyDescent="0.55000000000000004">
      <c r="G243" s="4" t="s">
        <v>260</v>
      </c>
    </row>
    <row r="244" spans="7:7" x14ac:dyDescent="0.55000000000000004">
      <c r="G244" s="4" t="s">
        <v>261</v>
      </c>
    </row>
    <row r="245" spans="7:7" x14ac:dyDescent="0.55000000000000004">
      <c r="G245" s="4" t="s">
        <v>262</v>
      </c>
    </row>
    <row r="246" spans="7:7" x14ac:dyDescent="0.55000000000000004">
      <c r="G246" s="4" t="s">
        <v>263</v>
      </c>
    </row>
    <row r="247" spans="7:7" x14ac:dyDescent="0.55000000000000004">
      <c r="G247" s="4" t="s">
        <v>264</v>
      </c>
    </row>
    <row r="248" spans="7:7" x14ac:dyDescent="0.55000000000000004">
      <c r="G248" s="4" t="s">
        <v>265</v>
      </c>
    </row>
    <row r="249" spans="7:7" x14ac:dyDescent="0.55000000000000004">
      <c r="G249" s="4" t="s">
        <v>266</v>
      </c>
    </row>
    <row r="250" spans="7:7" x14ac:dyDescent="0.55000000000000004">
      <c r="G250" s="4" t="s">
        <v>267</v>
      </c>
    </row>
    <row r="251" spans="7:7" x14ac:dyDescent="0.55000000000000004">
      <c r="G251" s="4" t="s">
        <v>268</v>
      </c>
    </row>
    <row r="252" spans="7:7" x14ac:dyDescent="0.55000000000000004">
      <c r="G252" s="4" t="s">
        <v>269</v>
      </c>
    </row>
    <row r="253" spans="7:7" x14ac:dyDescent="0.55000000000000004">
      <c r="G253" s="4" t="s">
        <v>270</v>
      </c>
    </row>
    <row r="254" spans="7:7" x14ac:dyDescent="0.55000000000000004">
      <c r="G254" s="4" t="s">
        <v>271</v>
      </c>
    </row>
    <row r="255" spans="7:7" x14ac:dyDescent="0.55000000000000004">
      <c r="G255" s="4" t="s">
        <v>272</v>
      </c>
    </row>
    <row r="256" spans="7:7" x14ac:dyDescent="0.55000000000000004">
      <c r="G256" s="4" t="s">
        <v>273</v>
      </c>
    </row>
    <row r="257" spans="7:7" x14ac:dyDescent="0.55000000000000004">
      <c r="G257" s="4" t="s">
        <v>274</v>
      </c>
    </row>
    <row r="258" spans="7:7" x14ac:dyDescent="0.55000000000000004">
      <c r="G258" s="4" t="s">
        <v>275</v>
      </c>
    </row>
    <row r="259" spans="7:7" x14ac:dyDescent="0.55000000000000004">
      <c r="G259" s="4" t="s">
        <v>276</v>
      </c>
    </row>
    <row r="260" spans="7:7" x14ac:dyDescent="0.55000000000000004">
      <c r="G260" s="4" t="s">
        <v>277</v>
      </c>
    </row>
    <row r="261" spans="7:7" x14ac:dyDescent="0.55000000000000004">
      <c r="G261" s="4" t="s">
        <v>278</v>
      </c>
    </row>
    <row r="262" spans="7:7" x14ac:dyDescent="0.55000000000000004">
      <c r="G262" s="4" t="s">
        <v>279</v>
      </c>
    </row>
    <row r="263" spans="7:7" x14ac:dyDescent="0.55000000000000004">
      <c r="G263" s="4" t="s">
        <v>280</v>
      </c>
    </row>
    <row r="264" spans="7:7" x14ac:dyDescent="0.55000000000000004">
      <c r="G264" s="4" t="s">
        <v>281</v>
      </c>
    </row>
    <row r="265" spans="7:7" x14ac:dyDescent="0.55000000000000004">
      <c r="G265" s="4" t="s">
        <v>282</v>
      </c>
    </row>
    <row r="266" spans="7:7" x14ac:dyDescent="0.55000000000000004">
      <c r="G266" s="4" t="s">
        <v>283</v>
      </c>
    </row>
    <row r="267" spans="7:7" x14ac:dyDescent="0.55000000000000004">
      <c r="G267" s="4" t="s">
        <v>284</v>
      </c>
    </row>
    <row r="268" spans="7:7" x14ac:dyDescent="0.55000000000000004">
      <c r="G268" s="4" t="s">
        <v>285</v>
      </c>
    </row>
    <row r="269" spans="7:7" x14ac:dyDescent="0.55000000000000004">
      <c r="G269" s="4" t="s">
        <v>286</v>
      </c>
    </row>
    <row r="270" spans="7:7" x14ac:dyDescent="0.55000000000000004">
      <c r="G270" s="4" t="s">
        <v>287</v>
      </c>
    </row>
    <row r="271" spans="7:7" x14ac:dyDescent="0.55000000000000004">
      <c r="G271" s="4" t="s">
        <v>288</v>
      </c>
    </row>
    <row r="272" spans="7:7" x14ac:dyDescent="0.55000000000000004">
      <c r="G272" s="4" t="s">
        <v>289</v>
      </c>
    </row>
    <row r="273" spans="7:7" x14ac:dyDescent="0.55000000000000004">
      <c r="G273" s="4" t="s">
        <v>290</v>
      </c>
    </row>
    <row r="274" spans="7:7" x14ac:dyDescent="0.55000000000000004">
      <c r="G274" s="4" t="s">
        <v>291</v>
      </c>
    </row>
    <row r="275" spans="7:7" x14ac:dyDescent="0.55000000000000004">
      <c r="G275" s="4" t="s">
        <v>292</v>
      </c>
    </row>
    <row r="276" spans="7:7" x14ac:dyDescent="0.55000000000000004">
      <c r="G276" s="4" t="s">
        <v>293</v>
      </c>
    </row>
    <row r="277" spans="7:7" x14ac:dyDescent="0.55000000000000004">
      <c r="G277" s="4" t="s">
        <v>294</v>
      </c>
    </row>
    <row r="278" spans="7:7" x14ac:dyDescent="0.55000000000000004">
      <c r="G278" s="4" t="s">
        <v>295</v>
      </c>
    </row>
    <row r="279" spans="7:7" x14ac:dyDescent="0.55000000000000004">
      <c r="G279" s="4" t="s">
        <v>296</v>
      </c>
    </row>
    <row r="280" spans="7:7" x14ac:dyDescent="0.55000000000000004">
      <c r="G280" s="4" t="s">
        <v>297</v>
      </c>
    </row>
    <row r="281" spans="7:7" x14ac:dyDescent="0.55000000000000004">
      <c r="G281" s="4" t="s">
        <v>298</v>
      </c>
    </row>
    <row r="282" spans="7:7" x14ac:dyDescent="0.55000000000000004">
      <c r="G282" s="4" t="s">
        <v>299</v>
      </c>
    </row>
    <row r="283" spans="7:7" x14ac:dyDescent="0.55000000000000004">
      <c r="G283" s="4" t="s">
        <v>300</v>
      </c>
    </row>
    <row r="284" spans="7:7" x14ac:dyDescent="0.55000000000000004">
      <c r="G284" s="4" t="s">
        <v>301</v>
      </c>
    </row>
    <row r="285" spans="7:7" x14ac:dyDescent="0.55000000000000004">
      <c r="G285" s="4" t="s">
        <v>302</v>
      </c>
    </row>
    <row r="286" spans="7:7" x14ac:dyDescent="0.55000000000000004">
      <c r="G286" s="4" t="s">
        <v>303</v>
      </c>
    </row>
    <row r="287" spans="7:7" x14ac:dyDescent="0.55000000000000004">
      <c r="G287" s="4" t="s">
        <v>304</v>
      </c>
    </row>
    <row r="288" spans="7:7" x14ac:dyDescent="0.55000000000000004">
      <c r="G288" s="4" t="s">
        <v>305</v>
      </c>
    </row>
    <row r="289" spans="7:7" x14ac:dyDescent="0.55000000000000004">
      <c r="G289" s="4" t="s">
        <v>306</v>
      </c>
    </row>
    <row r="290" spans="7:7" x14ac:dyDescent="0.55000000000000004">
      <c r="G290" s="4" t="s">
        <v>307</v>
      </c>
    </row>
    <row r="291" spans="7:7" x14ac:dyDescent="0.55000000000000004">
      <c r="G291" s="4" t="s">
        <v>308</v>
      </c>
    </row>
    <row r="292" spans="7:7" x14ac:dyDescent="0.55000000000000004">
      <c r="G292" s="4" t="s">
        <v>309</v>
      </c>
    </row>
    <row r="293" spans="7:7" x14ac:dyDescent="0.55000000000000004">
      <c r="G293" s="4" t="s">
        <v>310</v>
      </c>
    </row>
    <row r="294" spans="7:7" x14ac:dyDescent="0.55000000000000004">
      <c r="G294" s="4" t="s">
        <v>311</v>
      </c>
    </row>
    <row r="295" spans="7:7" x14ac:dyDescent="0.55000000000000004">
      <c r="G295" s="4" t="s">
        <v>312</v>
      </c>
    </row>
    <row r="296" spans="7:7" x14ac:dyDescent="0.55000000000000004">
      <c r="G296" s="4" t="s">
        <v>313</v>
      </c>
    </row>
    <row r="297" spans="7:7" x14ac:dyDescent="0.55000000000000004">
      <c r="G297" s="4" t="s">
        <v>314</v>
      </c>
    </row>
    <row r="298" spans="7:7" x14ac:dyDescent="0.55000000000000004">
      <c r="G298" s="4" t="s">
        <v>315</v>
      </c>
    </row>
    <row r="299" spans="7:7" x14ac:dyDescent="0.55000000000000004">
      <c r="G299" s="4" t="s">
        <v>316</v>
      </c>
    </row>
    <row r="300" spans="7:7" x14ac:dyDescent="0.55000000000000004">
      <c r="G300" s="4" t="s">
        <v>317</v>
      </c>
    </row>
    <row r="301" spans="7:7" x14ac:dyDescent="0.55000000000000004">
      <c r="G301" s="4" t="s">
        <v>318</v>
      </c>
    </row>
    <row r="302" spans="7:7" x14ac:dyDescent="0.55000000000000004">
      <c r="G302" s="4" t="s">
        <v>319</v>
      </c>
    </row>
    <row r="303" spans="7:7" x14ac:dyDescent="0.55000000000000004">
      <c r="G303" s="4" t="s">
        <v>320</v>
      </c>
    </row>
    <row r="304" spans="7:7" x14ac:dyDescent="0.55000000000000004">
      <c r="G304" s="4" t="s">
        <v>321</v>
      </c>
    </row>
    <row r="305" spans="7:7" x14ac:dyDescent="0.55000000000000004">
      <c r="G305" s="4" t="s">
        <v>322</v>
      </c>
    </row>
    <row r="306" spans="7:7" x14ac:dyDescent="0.55000000000000004">
      <c r="G306" s="4" t="s">
        <v>323</v>
      </c>
    </row>
    <row r="307" spans="7:7" x14ac:dyDescent="0.55000000000000004">
      <c r="G307" s="4" t="s">
        <v>324</v>
      </c>
    </row>
    <row r="308" spans="7:7" x14ac:dyDescent="0.55000000000000004">
      <c r="G308" s="4" t="s">
        <v>325</v>
      </c>
    </row>
    <row r="309" spans="7:7" x14ac:dyDescent="0.55000000000000004">
      <c r="G309" s="4" t="s">
        <v>326</v>
      </c>
    </row>
    <row r="310" spans="7:7" x14ac:dyDescent="0.55000000000000004">
      <c r="G310" s="4" t="s">
        <v>327</v>
      </c>
    </row>
    <row r="311" spans="7:7" x14ac:dyDescent="0.55000000000000004">
      <c r="G311" s="4" t="s">
        <v>328</v>
      </c>
    </row>
    <row r="312" spans="7:7" x14ac:dyDescent="0.55000000000000004">
      <c r="G312" s="4" t="s">
        <v>329</v>
      </c>
    </row>
    <row r="313" spans="7:7" x14ac:dyDescent="0.55000000000000004">
      <c r="G313" s="4" t="s">
        <v>330</v>
      </c>
    </row>
    <row r="314" spans="7:7" x14ac:dyDescent="0.55000000000000004">
      <c r="G314" s="4" t="s">
        <v>331</v>
      </c>
    </row>
    <row r="315" spans="7:7" x14ac:dyDescent="0.55000000000000004">
      <c r="G315" s="4" t="s">
        <v>332</v>
      </c>
    </row>
    <row r="316" spans="7:7" x14ac:dyDescent="0.55000000000000004">
      <c r="G316" s="4" t="s">
        <v>333</v>
      </c>
    </row>
    <row r="317" spans="7:7" x14ac:dyDescent="0.55000000000000004">
      <c r="G317" s="4" t="s">
        <v>334</v>
      </c>
    </row>
    <row r="318" spans="7:7" x14ac:dyDescent="0.55000000000000004">
      <c r="G318" s="4" t="s">
        <v>335</v>
      </c>
    </row>
    <row r="319" spans="7:7" x14ac:dyDescent="0.55000000000000004">
      <c r="G319" s="4" t="s">
        <v>336</v>
      </c>
    </row>
    <row r="320" spans="7:7" x14ac:dyDescent="0.55000000000000004">
      <c r="G320" s="4" t="s">
        <v>337</v>
      </c>
    </row>
    <row r="321" spans="7:7" x14ac:dyDescent="0.55000000000000004">
      <c r="G321" s="4" t="s">
        <v>338</v>
      </c>
    </row>
    <row r="322" spans="7:7" x14ac:dyDescent="0.55000000000000004">
      <c r="G322" s="4" t="s">
        <v>339</v>
      </c>
    </row>
    <row r="323" spans="7:7" x14ac:dyDescent="0.55000000000000004">
      <c r="G323" s="4" t="s">
        <v>340</v>
      </c>
    </row>
    <row r="324" spans="7:7" x14ac:dyDescent="0.55000000000000004">
      <c r="G324" s="4" t="s">
        <v>341</v>
      </c>
    </row>
    <row r="325" spans="7:7" x14ac:dyDescent="0.55000000000000004">
      <c r="G325" s="4" t="s">
        <v>342</v>
      </c>
    </row>
    <row r="326" spans="7:7" x14ac:dyDescent="0.55000000000000004">
      <c r="G326" s="4" t="s">
        <v>343</v>
      </c>
    </row>
    <row r="327" spans="7:7" x14ac:dyDescent="0.55000000000000004">
      <c r="G327" s="4" t="s">
        <v>344</v>
      </c>
    </row>
    <row r="328" spans="7:7" x14ac:dyDescent="0.55000000000000004">
      <c r="G328" s="4" t="s">
        <v>345</v>
      </c>
    </row>
    <row r="329" spans="7:7" x14ac:dyDescent="0.55000000000000004">
      <c r="G329" s="4" t="s">
        <v>346</v>
      </c>
    </row>
    <row r="330" spans="7:7" x14ac:dyDescent="0.55000000000000004">
      <c r="G330" s="4" t="s">
        <v>347</v>
      </c>
    </row>
    <row r="331" spans="7:7" x14ac:dyDescent="0.55000000000000004">
      <c r="G331" s="4" t="s">
        <v>348</v>
      </c>
    </row>
    <row r="332" spans="7:7" x14ac:dyDescent="0.55000000000000004">
      <c r="G332" s="4" t="s">
        <v>349</v>
      </c>
    </row>
    <row r="333" spans="7:7" x14ac:dyDescent="0.55000000000000004">
      <c r="G333" s="4" t="s">
        <v>350</v>
      </c>
    </row>
    <row r="334" spans="7:7" x14ac:dyDescent="0.55000000000000004">
      <c r="G334" s="4" t="s">
        <v>351</v>
      </c>
    </row>
    <row r="335" spans="7:7" x14ac:dyDescent="0.55000000000000004">
      <c r="G335" s="4" t="s">
        <v>352</v>
      </c>
    </row>
    <row r="336" spans="7:7" x14ac:dyDescent="0.55000000000000004">
      <c r="G336" s="4" t="s">
        <v>353</v>
      </c>
    </row>
    <row r="337" spans="7:7" x14ac:dyDescent="0.55000000000000004">
      <c r="G337" s="4" t="s">
        <v>354</v>
      </c>
    </row>
    <row r="338" spans="7:7" x14ac:dyDescent="0.55000000000000004">
      <c r="G338" s="4" t="s">
        <v>355</v>
      </c>
    </row>
    <row r="339" spans="7:7" x14ac:dyDescent="0.55000000000000004">
      <c r="G339" s="4" t="s">
        <v>356</v>
      </c>
    </row>
    <row r="340" spans="7:7" x14ac:dyDescent="0.55000000000000004">
      <c r="G340" s="4" t="s">
        <v>357</v>
      </c>
    </row>
    <row r="341" spans="7:7" x14ac:dyDescent="0.55000000000000004">
      <c r="G341" s="4" t="s">
        <v>358</v>
      </c>
    </row>
    <row r="342" spans="7:7" x14ac:dyDescent="0.55000000000000004">
      <c r="G342" s="4" t="s">
        <v>359</v>
      </c>
    </row>
    <row r="343" spans="7:7" x14ac:dyDescent="0.55000000000000004">
      <c r="G343" s="4" t="s">
        <v>360</v>
      </c>
    </row>
    <row r="344" spans="7:7" x14ac:dyDescent="0.55000000000000004">
      <c r="G344" s="4" t="s">
        <v>61</v>
      </c>
    </row>
    <row r="345" spans="7:7" x14ac:dyDescent="0.55000000000000004">
      <c r="G345" s="4" t="s">
        <v>361</v>
      </c>
    </row>
    <row r="346" spans="7:7" x14ac:dyDescent="0.55000000000000004">
      <c r="G346" s="4" t="s">
        <v>362</v>
      </c>
    </row>
    <row r="347" spans="7:7" x14ac:dyDescent="0.55000000000000004">
      <c r="G347" s="4" t="s">
        <v>363</v>
      </c>
    </row>
    <row r="348" spans="7:7" x14ac:dyDescent="0.55000000000000004">
      <c r="G348" s="4" t="s">
        <v>364</v>
      </c>
    </row>
    <row r="349" spans="7:7" x14ac:dyDescent="0.55000000000000004">
      <c r="G349" s="4" t="s">
        <v>365</v>
      </c>
    </row>
    <row r="350" spans="7:7" x14ac:dyDescent="0.55000000000000004">
      <c r="G350" s="4" t="s">
        <v>366</v>
      </c>
    </row>
    <row r="351" spans="7:7" x14ac:dyDescent="0.55000000000000004">
      <c r="G351" s="4" t="s">
        <v>367</v>
      </c>
    </row>
    <row r="352" spans="7:7" x14ac:dyDescent="0.55000000000000004">
      <c r="G352" s="4" t="s">
        <v>368</v>
      </c>
    </row>
    <row r="353" spans="7:7" x14ac:dyDescent="0.55000000000000004">
      <c r="G353" s="4" t="s">
        <v>369</v>
      </c>
    </row>
    <row r="354" spans="7:7" x14ac:dyDescent="0.55000000000000004">
      <c r="G354" s="4" t="s">
        <v>370</v>
      </c>
    </row>
    <row r="355" spans="7:7" x14ac:dyDescent="0.55000000000000004">
      <c r="G355" s="4" t="s">
        <v>371</v>
      </c>
    </row>
    <row r="356" spans="7:7" x14ac:dyDescent="0.55000000000000004">
      <c r="G356" s="4" t="s">
        <v>372</v>
      </c>
    </row>
    <row r="357" spans="7:7" x14ac:dyDescent="0.55000000000000004">
      <c r="G357" s="4" t="s">
        <v>373</v>
      </c>
    </row>
    <row r="358" spans="7:7" x14ac:dyDescent="0.55000000000000004">
      <c r="G358" s="4" t="s">
        <v>374</v>
      </c>
    </row>
    <row r="359" spans="7:7" x14ac:dyDescent="0.55000000000000004">
      <c r="G359" s="4" t="s">
        <v>375</v>
      </c>
    </row>
    <row r="360" spans="7:7" x14ac:dyDescent="0.55000000000000004">
      <c r="G360" s="4" t="s">
        <v>376</v>
      </c>
    </row>
    <row r="361" spans="7:7" x14ac:dyDescent="0.55000000000000004">
      <c r="G361" s="4" t="s">
        <v>377</v>
      </c>
    </row>
    <row r="362" spans="7:7" x14ac:dyDescent="0.55000000000000004">
      <c r="G362" s="4" t="s">
        <v>378</v>
      </c>
    </row>
    <row r="363" spans="7:7" x14ac:dyDescent="0.55000000000000004">
      <c r="G363" s="4" t="s">
        <v>379</v>
      </c>
    </row>
    <row r="364" spans="7:7" x14ac:dyDescent="0.55000000000000004">
      <c r="G364" s="4" t="s">
        <v>380</v>
      </c>
    </row>
    <row r="365" spans="7:7" x14ac:dyDescent="0.55000000000000004">
      <c r="G365" s="4" t="s">
        <v>381</v>
      </c>
    </row>
    <row r="366" spans="7:7" x14ac:dyDescent="0.55000000000000004">
      <c r="G366" s="4" t="s">
        <v>382</v>
      </c>
    </row>
    <row r="367" spans="7:7" x14ac:dyDescent="0.55000000000000004">
      <c r="G367" s="4" t="s">
        <v>383</v>
      </c>
    </row>
    <row r="368" spans="7:7" x14ac:dyDescent="0.55000000000000004">
      <c r="G368" s="4" t="s">
        <v>384</v>
      </c>
    </row>
    <row r="369" spans="7:7" x14ac:dyDescent="0.55000000000000004">
      <c r="G369" s="4" t="s">
        <v>385</v>
      </c>
    </row>
    <row r="370" spans="7:7" x14ac:dyDescent="0.55000000000000004">
      <c r="G370" s="4" t="s">
        <v>386</v>
      </c>
    </row>
    <row r="371" spans="7:7" x14ac:dyDescent="0.55000000000000004">
      <c r="G371" s="4" t="s">
        <v>387</v>
      </c>
    </row>
    <row r="372" spans="7:7" x14ac:dyDescent="0.55000000000000004">
      <c r="G372" s="4" t="s">
        <v>388</v>
      </c>
    </row>
    <row r="373" spans="7:7" x14ac:dyDescent="0.55000000000000004">
      <c r="G373" s="4" t="s">
        <v>389</v>
      </c>
    </row>
    <row r="374" spans="7:7" x14ac:dyDescent="0.55000000000000004">
      <c r="G374" s="4" t="s">
        <v>390</v>
      </c>
    </row>
    <row r="375" spans="7:7" x14ac:dyDescent="0.55000000000000004">
      <c r="G375" s="4" t="s">
        <v>391</v>
      </c>
    </row>
    <row r="376" spans="7:7" x14ac:dyDescent="0.55000000000000004">
      <c r="G376" s="4" t="s">
        <v>392</v>
      </c>
    </row>
    <row r="377" spans="7:7" x14ac:dyDescent="0.55000000000000004">
      <c r="G377" s="4" t="s">
        <v>393</v>
      </c>
    </row>
    <row r="378" spans="7:7" x14ac:dyDescent="0.55000000000000004">
      <c r="G378" s="4" t="s">
        <v>394</v>
      </c>
    </row>
    <row r="379" spans="7:7" x14ac:dyDescent="0.55000000000000004">
      <c r="G379" s="4" t="s">
        <v>395</v>
      </c>
    </row>
    <row r="380" spans="7:7" x14ac:dyDescent="0.55000000000000004">
      <c r="G380" s="4" t="s">
        <v>396</v>
      </c>
    </row>
    <row r="381" spans="7:7" x14ac:dyDescent="0.55000000000000004">
      <c r="G381" s="4" t="s">
        <v>397</v>
      </c>
    </row>
    <row r="382" spans="7:7" x14ac:dyDescent="0.55000000000000004">
      <c r="G382" s="4" t="s">
        <v>398</v>
      </c>
    </row>
    <row r="383" spans="7:7" x14ac:dyDescent="0.55000000000000004">
      <c r="G383" s="4" t="s">
        <v>399</v>
      </c>
    </row>
    <row r="384" spans="7:7" x14ac:dyDescent="0.55000000000000004">
      <c r="G384" s="4" t="s">
        <v>400</v>
      </c>
    </row>
    <row r="385" spans="7:7" x14ac:dyDescent="0.55000000000000004">
      <c r="G385" s="4" t="s">
        <v>401</v>
      </c>
    </row>
    <row r="386" spans="7:7" x14ac:dyDescent="0.55000000000000004">
      <c r="G386" s="4" t="s">
        <v>402</v>
      </c>
    </row>
    <row r="387" spans="7:7" x14ac:dyDescent="0.55000000000000004">
      <c r="G387" s="4" t="s">
        <v>403</v>
      </c>
    </row>
    <row r="388" spans="7:7" x14ac:dyDescent="0.55000000000000004">
      <c r="G388" s="4" t="s">
        <v>404</v>
      </c>
    </row>
    <row r="389" spans="7:7" x14ac:dyDescent="0.55000000000000004">
      <c r="G389" s="4" t="s">
        <v>405</v>
      </c>
    </row>
    <row r="390" spans="7:7" x14ac:dyDescent="0.55000000000000004">
      <c r="G390" s="4" t="s">
        <v>406</v>
      </c>
    </row>
    <row r="391" spans="7:7" x14ac:dyDescent="0.55000000000000004">
      <c r="G391" s="4" t="s">
        <v>407</v>
      </c>
    </row>
    <row r="392" spans="7:7" x14ac:dyDescent="0.55000000000000004">
      <c r="G392" s="4" t="s">
        <v>408</v>
      </c>
    </row>
    <row r="393" spans="7:7" x14ac:dyDescent="0.55000000000000004">
      <c r="G393" s="4" t="s">
        <v>409</v>
      </c>
    </row>
    <row r="394" spans="7:7" x14ac:dyDescent="0.55000000000000004">
      <c r="G394" s="4" t="s">
        <v>410</v>
      </c>
    </row>
    <row r="395" spans="7:7" x14ac:dyDescent="0.55000000000000004">
      <c r="G395" s="4" t="s">
        <v>411</v>
      </c>
    </row>
    <row r="396" spans="7:7" x14ac:dyDescent="0.55000000000000004">
      <c r="G396" s="4" t="s">
        <v>412</v>
      </c>
    </row>
    <row r="397" spans="7:7" x14ac:dyDescent="0.55000000000000004">
      <c r="G397" s="4" t="s">
        <v>413</v>
      </c>
    </row>
    <row r="398" spans="7:7" x14ac:dyDescent="0.55000000000000004">
      <c r="G398" s="4" t="s">
        <v>414</v>
      </c>
    </row>
    <row r="399" spans="7:7" x14ac:dyDescent="0.55000000000000004">
      <c r="G399" s="4" t="s">
        <v>415</v>
      </c>
    </row>
    <row r="400" spans="7:7" x14ac:dyDescent="0.55000000000000004">
      <c r="G400" s="4" t="s">
        <v>416</v>
      </c>
    </row>
    <row r="401" spans="7:7" x14ac:dyDescent="0.55000000000000004">
      <c r="G401" s="4" t="s">
        <v>417</v>
      </c>
    </row>
    <row r="402" spans="7:7" x14ac:dyDescent="0.55000000000000004">
      <c r="G402" s="4" t="s">
        <v>418</v>
      </c>
    </row>
    <row r="403" spans="7:7" x14ac:dyDescent="0.55000000000000004">
      <c r="G403" s="4" t="s">
        <v>419</v>
      </c>
    </row>
    <row r="404" spans="7:7" x14ac:dyDescent="0.55000000000000004">
      <c r="G404" s="4" t="s">
        <v>420</v>
      </c>
    </row>
    <row r="405" spans="7:7" x14ac:dyDescent="0.55000000000000004">
      <c r="G405" s="4" t="s">
        <v>421</v>
      </c>
    </row>
    <row r="406" spans="7:7" x14ac:dyDescent="0.55000000000000004">
      <c r="G406" s="4" t="s">
        <v>422</v>
      </c>
    </row>
    <row r="407" spans="7:7" x14ac:dyDescent="0.55000000000000004">
      <c r="G407" s="4" t="s">
        <v>423</v>
      </c>
    </row>
    <row r="408" spans="7:7" x14ac:dyDescent="0.55000000000000004">
      <c r="G408" s="4" t="s">
        <v>424</v>
      </c>
    </row>
    <row r="409" spans="7:7" x14ac:dyDescent="0.55000000000000004">
      <c r="G409" s="4" t="s">
        <v>425</v>
      </c>
    </row>
    <row r="410" spans="7:7" x14ac:dyDescent="0.55000000000000004">
      <c r="G410" s="4" t="s">
        <v>426</v>
      </c>
    </row>
    <row r="411" spans="7:7" x14ac:dyDescent="0.55000000000000004">
      <c r="G411" s="4" t="s">
        <v>427</v>
      </c>
    </row>
    <row r="412" spans="7:7" x14ac:dyDescent="0.55000000000000004">
      <c r="G412" s="4" t="s">
        <v>428</v>
      </c>
    </row>
    <row r="413" spans="7:7" x14ac:dyDescent="0.55000000000000004">
      <c r="G413" s="4" t="s">
        <v>429</v>
      </c>
    </row>
    <row r="414" spans="7:7" x14ac:dyDescent="0.55000000000000004">
      <c r="G414" s="4" t="s">
        <v>430</v>
      </c>
    </row>
    <row r="415" spans="7:7" x14ac:dyDescent="0.55000000000000004">
      <c r="G415" s="4" t="s">
        <v>431</v>
      </c>
    </row>
    <row r="416" spans="7:7" x14ac:dyDescent="0.55000000000000004">
      <c r="G416" s="4" t="s">
        <v>432</v>
      </c>
    </row>
    <row r="417" spans="7:7" x14ac:dyDescent="0.55000000000000004">
      <c r="G417" s="4" t="s">
        <v>433</v>
      </c>
    </row>
    <row r="418" spans="7:7" x14ac:dyDescent="0.55000000000000004">
      <c r="G418" s="4" t="s">
        <v>434</v>
      </c>
    </row>
    <row r="419" spans="7:7" x14ac:dyDescent="0.55000000000000004">
      <c r="G419" s="4" t="s">
        <v>435</v>
      </c>
    </row>
    <row r="420" spans="7:7" x14ac:dyDescent="0.55000000000000004">
      <c r="G420" s="4" t="s">
        <v>436</v>
      </c>
    </row>
    <row r="421" spans="7:7" x14ac:dyDescent="0.55000000000000004">
      <c r="G421" s="4" t="s">
        <v>437</v>
      </c>
    </row>
    <row r="422" spans="7:7" x14ac:dyDescent="0.55000000000000004">
      <c r="G422" s="4" t="s">
        <v>438</v>
      </c>
    </row>
    <row r="423" spans="7:7" x14ac:dyDescent="0.55000000000000004">
      <c r="G423" s="4" t="s">
        <v>439</v>
      </c>
    </row>
    <row r="424" spans="7:7" x14ac:dyDescent="0.55000000000000004">
      <c r="G424" s="4" t="s">
        <v>440</v>
      </c>
    </row>
    <row r="425" spans="7:7" x14ac:dyDescent="0.55000000000000004">
      <c r="G425" s="4" t="s">
        <v>441</v>
      </c>
    </row>
    <row r="426" spans="7:7" x14ac:dyDescent="0.55000000000000004">
      <c r="G426" s="4" t="s">
        <v>442</v>
      </c>
    </row>
    <row r="427" spans="7:7" x14ac:dyDescent="0.55000000000000004">
      <c r="G427" s="4" t="s">
        <v>443</v>
      </c>
    </row>
    <row r="428" spans="7:7" x14ac:dyDescent="0.55000000000000004">
      <c r="G428" s="4" t="s">
        <v>444</v>
      </c>
    </row>
    <row r="429" spans="7:7" x14ac:dyDescent="0.55000000000000004">
      <c r="G429" s="4" t="s">
        <v>445</v>
      </c>
    </row>
    <row r="430" spans="7:7" x14ac:dyDescent="0.55000000000000004">
      <c r="G430" s="4" t="s">
        <v>446</v>
      </c>
    </row>
    <row r="431" spans="7:7" x14ac:dyDescent="0.55000000000000004">
      <c r="G431" s="4" t="s">
        <v>447</v>
      </c>
    </row>
    <row r="432" spans="7:7" x14ac:dyDescent="0.55000000000000004">
      <c r="G432" s="4" t="s">
        <v>448</v>
      </c>
    </row>
    <row r="433" spans="7:7" x14ac:dyDescent="0.55000000000000004">
      <c r="G433" s="4" t="s">
        <v>449</v>
      </c>
    </row>
    <row r="434" spans="7:7" x14ac:dyDescent="0.55000000000000004">
      <c r="G434" s="4" t="s">
        <v>450</v>
      </c>
    </row>
    <row r="435" spans="7:7" x14ac:dyDescent="0.55000000000000004">
      <c r="G435" s="4" t="s">
        <v>451</v>
      </c>
    </row>
    <row r="436" spans="7:7" x14ac:dyDescent="0.55000000000000004">
      <c r="G436" s="4" t="s">
        <v>452</v>
      </c>
    </row>
    <row r="437" spans="7:7" x14ac:dyDescent="0.55000000000000004">
      <c r="G437" s="4" t="s">
        <v>453</v>
      </c>
    </row>
    <row r="438" spans="7:7" x14ac:dyDescent="0.55000000000000004">
      <c r="G438" s="4" t="s">
        <v>454</v>
      </c>
    </row>
    <row r="439" spans="7:7" x14ac:dyDescent="0.55000000000000004">
      <c r="G439" s="4" t="s">
        <v>455</v>
      </c>
    </row>
    <row r="440" spans="7:7" x14ac:dyDescent="0.55000000000000004">
      <c r="G440" s="4" t="s">
        <v>456</v>
      </c>
    </row>
    <row r="441" spans="7:7" x14ac:dyDescent="0.55000000000000004">
      <c r="G441" s="4" t="s">
        <v>457</v>
      </c>
    </row>
    <row r="442" spans="7:7" x14ac:dyDescent="0.55000000000000004">
      <c r="G442" s="4" t="s">
        <v>458</v>
      </c>
    </row>
    <row r="443" spans="7:7" x14ac:dyDescent="0.55000000000000004">
      <c r="G443" s="4" t="s">
        <v>459</v>
      </c>
    </row>
    <row r="444" spans="7:7" x14ac:dyDescent="0.55000000000000004">
      <c r="G444" s="4" t="s">
        <v>460</v>
      </c>
    </row>
    <row r="445" spans="7:7" x14ac:dyDescent="0.55000000000000004">
      <c r="G445" s="4" t="s">
        <v>461</v>
      </c>
    </row>
    <row r="446" spans="7:7" x14ac:dyDescent="0.55000000000000004">
      <c r="G446" s="4" t="s">
        <v>462</v>
      </c>
    </row>
    <row r="447" spans="7:7" x14ac:dyDescent="0.55000000000000004">
      <c r="G447" s="4" t="s">
        <v>463</v>
      </c>
    </row>
    <row r="448" spans="7:7" x14ac:dyDescent="0.55000000000000004">
      <c r="G448" s="4" t="s">
        <v>464</v>
      </c>
    </row>
    <row r="449" spans="7:7" x14ac:dyDescent="0.55000000000000004">
      <c r="G449" s="4" t="s">
        <v>465</v>
      </c>
    </row>
    <row r="450" spans="7:7" x14ac:dyDescent="0.55000000000000004">
      <c r="G450" s="4" t="s">
        <v>466</v>
      </c>
    </row>
    <row r="451" spans="7:7" x14ac:dyDescent="0.55000000000000004">
      <c r="G451" s="4" t="s">
        <v>467</v>
      </c>
    </row>
    <row r="452" spans="7:7" x14ac:dyDescent="0.55000000000000004">
      <c r="G452" s="4" t="s">
        <v>468</v>
      </c>
    </row>
    <row r="453" spans="7:7" x14ac:dyDescent="0.55000000000000004">
      <c r="G453" s="4" t="s">
        <v>469</v>
      </c>
    </row>
    <row r="454" spans="7:7" x14ac:dyDescent="0.55000000000000004">
      <c r="G454" s="4" t="s">
        <v>470</v>
      </c>
    </row>
    <row r="455" spans="7:7" x14ac:dyDescent="0.55000000000000004">
      <c r="G455" s="4" t="s">
        <v>471</v>
      </c>
    </row>
    <row r="456" spans="7:7" x14ac:dyDescent="0.55000000000000004">
      <c r="G456" s="4" t="s">
        <v>472</v>
      </c>
    </row>
    <row r="457" spans="7:7" x14ac:dyDescent="0.55000000000000004">
      <c r="G457" s="4" t="s">
        <v>473</v>
      </c>
    </row>
    <row r="458" spans="7:7" x14ac:dyDescent="0.55000000000000004">
      <c r="G458" s="4" t="s">
        <v>474</v>
      </c>
    </row>
    <row r="459" spans="7:7" x14ac:dyDescent="0.55000000000000004">
      <c r="G459" s="4" t="s">
        <v>475</v>
      </c>
    </row>
    <row r="460" spans="7:7" x14ac:dyDescent="0.55000000000000004">
      <c r="G460" s="4" t="s">
        <v>476</v>
      </c>
    </row>
    <row r="461" spans="7:7" x14ac:dyDescent="0.55000000000000004">
      <c r="G461" s="4" t="s">
        <v>477</v>
      </c>
    </row>
    <row r="462" spans="7:7" x14ac:dyDescent="0.55000000000000004">
      <c r="G462" s="4" t="s">
        <v>478</v>
      </c>
    </row>
    <row r="463" spans="7:7" x14ac:dyDescent="0.55000000000000004">
      <c r="G463" s="4" t="s">
        <v>479</v>
      </c>
    </row>
    <row r="464" spans="7:7" x14ac:dyDescent="0.55000000000000004">
      <c r="G464" s="4" t="s">
        <v>480</v>
      </c>
    </row>
    <row r="465" spans="7:7" x14ac:dyDescent="0.55000000000000004">
      <c r="G465" s="4" t="s">
        <v>481</v>
      </c>
    </row>
    <row r="466" spans="7:7" x14ac:dyDescent="0.55000000000000004">
      <c r="G466" s="4" t="s">
        <v>482</v>
      </c>
    </row>
    <row r="467" spans="7:7" x14ac:dyDescent="0.55000000000000004">
      <c r="G467" s="4" t="s">
        <v>483</v>
      </c>
    </row>
    <row r="468" spans="7:7" x14ac:dyDescent="0.55000000000000004">
      <c r="G468" s="4" t="s">
        <v>484</v>
      </c>
    </row>
    <row r="469" spans="7:7" x14ac:dyDescent="0.55000000000000004">
      <c r="G469" s="4" t="s">
        <v>485</v>
      </c>
    </row>
    <row r="470" spans="7:7" x14ac:dyDescent="0.55000000000000004">
      <c r="G470" s="4" t="s">
        <v>486</v>
      </c>
    </row>
    <row r="471" spans="7:7" x14ac:dyDescent="0.55000000000000004">
      <c r="G471" s="4" t="s">
        <v>487</v>
      </c>
    </row>
    <row r="472" spans="7:7" x14ac:dyDescent="0.55000000000000004">
      <c r="G472" s="4" t="s">
        <v>488</v>
      </c>
    </row>
    <row r="473" spans="7:7" x14ac:dyDescent="0.55000000000000004">
      <c r="G473" s="4" t="s">
        <v>489</v>
      </c>
    </row>
    <row r="474" spans="7:7" x14ac:dyDescent="0.55000000000000004">
      <c r="G474" s="4" t="s">
        <v>490</v>
      </c>
    </row>
    <row r="475" spans="7:7" x14ac:dyDescent="0.55000000000000004">
      <c r="G475" s="4" t="s">
        <v>491</v>
      </c>
    </row>
    <row r="476" spans="7:7" x14ac:dyDescent="0.55000000000000004">
      <c r="G476" s="4" t="s">
        <v>492</v>
      </c>
    </row>
    <row r="477" spans="7:7" x14ac:dyDescent="0.55000000000000004">
      <c r="G477" s="4" t="s">
        <v>493</v>
      </c>
    </row>
    <row r="478" spans="7:7" x14ac:dyDescent="0.55000000000000004">
      <c r="G478" s="4" t="s">
        <v>494</v>
      </c>
    </row>
    <row r="479" spans="7:7" x14ac:dyDescent="0.55000000000000004">
      <c r="G479" s="4" t="s">
        <v>495</v>
      </c>
    </row>
    <row r="480" spans="7:7" x14ac:dyDescent="0.55000000000000004">
      <c r="G480" s="4" t="s">
        <v>496</v>
      </c>
    </row>
    <row r="481" spans="7:7" x14ac:dyDescent="0.55000000000000004">
      <c r="G481" s="4" t="s">
        <v>497</v>
      </c>
    </row>
    <row r="482" spans="7:7" x14ac:dyDescent="0.55000000000000004">
      <c r="G482" s="4" t="s">
        <v>498</v>
      </c>
    </row>
    <row r="483" spans="7:7" x14ac:dyDescent="0.55000000000000004">
      <c r="G483" s="4" t="s">
        <v>499</v>
      </c>
    </row>
    <row r="484" spans="7:7" x14ac:dyDescent="0.55000000000000004">
      <c r="G484" s="4" t="s">
        <v>500</v>
      </c>
    </row>
    <row r="485" spans="7:7" x14ac:dyDescent="0.55000000000000004">
      <c r="G485" s="4" t="s">
        <v>501</v>
      </c>
    </row>
    <row r="486" spans="7:7" x14ac:dyDescent="0.55000000000000004">
      <c r="G486" s="4" t="s">
        <v>502</v>
      </c>
    </row>
    <row r="487" spans="7:7" x14ac:dyDescent="0.55000000000000004">
      <c r="G487" s="4" t="s">
        <v>503</v>
      </c>
    </row>
    <row r="488" spans="7:7" x14ac:dyDescent="0.55000000000000004">
      <c r="G488" s="4" t="s">
        <v>504</v>
      </c>
    </row>
    <row r="489" spans="7:7" x14ac:dyDescent="0.55000000000000004">
      <c r="G489" s="4" t="s">
        <v>505</v>
      </c>
    </row>
    <row r="490" spans="7:7" x14ac:dyDescent="0.55000000000000004">
      <c r="G490" s="4" t="s">
        <v>506</v>
      </c>
    </row>
    <row r="491" spans="7:7" x14ac:dyDescent="0.55000000000000004">
      <c r="G491" s="4" t="s">
        <v>507</v>
      </c>
    </row>
    <row r="492" spans="7:7" x14ac:dyDescent="0.55000000000000004">
      <c r="G492" s="4" t="s">
        <v>508</v>
      </c>
    </row>
    <row r="493" spans="7:7" x14ac:dyDescent="0.55000000000000004">
      <c r="G493" s="4" t="s">
        <v>509</v>
      </c>
    </row>
    <row r="494" spans="7:7" x14ac:dyDescent="0.55000000000000004">
      <c r="G494" s="4" t="s">
        <v>510</v>
      </c>
    </row>
    <row r="495" spans="7:7" x14ac:dyDescent="0.55000000000000004">
      <c r="G495" s="4" t="s">
        <v>511</v>
      </c>
    </row>
    <row r="496" spans="7:7" x14ac:dyDescent="0.55000000000000004">
      <c r="G496" s="4" t="s">
        <v>512</v>
      </c>
    </row>
    <row r="497" spans="7:7" x14ac:dyDescent="0.55000000000000004">
      <c r="G497" s="4" t="s">
        <v>513</v>
      </c>
    </row>
    <row r="498" spans="7:7" x14ac:dyDescent="0.55000000000000004">
      <c r="G498" s="4" t="s">
        <v>514</v>
      </c>
    </row>
    <row r="499" spans="7:7" x14ac:dyDescent="0.55000000000000004">
      <c r="G499" s="4" t="s">
        <v>515</v>
      </c>
    </row>
    <row r="500" spans="7:7" x14ac:dyDescent="0.55000000000000004">
      <c r="G500" s="4" t="s">
        <v>516</v>
      </c>
    </row>
    <row r="501" spans="7:7" x14ac:dyDescent="0.55000000000000004">
      <c r="G501" s="4" t="s">
        <v>517</v>
      </c>
    </row>
    <row r="502" spans="7:7" x14ac:dyDescent="0.55000000000000004">
      <c r="G502" s="4" t="s">
        <v>518</v>
      </c>
    </row>
    <row r="503" spans="7:7" x14ac:dyDescent="0.55000000000000004">
      <c r="G503" s="4" t="s">
        <v>519</v>
      </c>
    </row>
  </sheetData>
  <hyperlinks>
    <hyperlink ref="D11" r:id="rId1" xr:uid="{00000000-0004-0000-0100-000000000000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R501"/>
  <sheetViews>
    <sheetView showGridLines="0" zoomScale="103" zoomScaleNormal="120" workbookViewId="0">
      <pane xSplit="6" ySplit="2" topLeftCell="H35" activePane="bottomRight" state="frozen"/>
      <selection activeCell="P44" sqref="P44"/>
      <selection pane="topRight" activeCell="P44" sqref="P44"/>
      <selection pane="bottomLeft" activeCell="P44" sqref="P44"/>
      <selection pane="bottomRight" activeCell="M8" sqref="M8"/>
    </sheetView>
  </sheetViews>
  <sheetFormatPr defaultRowHeight="14.4" x14ac:dyDescent="0.3"/>
  <cols>
    <col min="1" max="2" width="9.109375" hidden="1" customWidth="1"/>
    <col min="3" max="3" width="18" bestFit="1" customWidth="1"/>
    <col min="4" max="4" width="12.88671875" customWidth="1"/>
    <col min="5" max="5" width="18.5546875" customWidth="1"/>
    <col min="6" max="6" width="33.33203125" customWidth="1"/>
    <col min="7" max="7" width="91" customWidth="1"/>
    <col min="8" max="8" width="10.88671875" customWidth="1"/>
    <col min="9" max="9" width="11.109375" customWidth="1"/>
    <col min="10" max="10" width="13" bestFit="1" customWidth="1"/>
    <col min="11" max="13" width="18.5546875" customWidth="1"/>
    <col min="14" max="14" width="9.5546875" customWidth="1"/>
    <col min="15" max="15" width="18" customWidth="1"/>
    <col min="16" max="18" width="18" hidden="1" customWidth="1"/>
  </cols>
  <sheetData>
    <row r="1" spans="1:18" ht="51.45" customHeight="1" thickBot="1" x14ac:dyDescent="0.35">
      <c r="A1" s="2"/>
      <c r="B1" s="2"/>
    </row>
    <row r="2" spans="1:18" s="31" customFormat="1" ht="48.9" customHeight="1" thickTop="1" thickBot="1" x14ac:dyDescent="0.35">
      <c r="C2" s="37" t="s">
        <v>0</v>
      </c>
      <c r="D2" s="38" t="s">
        <v>1</v>
      </c>
      <c r="E2" s="38" t="s">
        <v>2</v>
      </c>
      <c r="F2" s="38" t="s">
        <v>4</v>
      </c>
      <c r="G2" s="38" t="s">
        <v>534</v>
      </c>
      <c r="H2" s="38" t="s">
        <v>3</v>
      </c>
      <c r="I2" s="38" t="s">
        <v>532</v>
      </c>
      <c r="J2" s="38" t="s">
        <v>530</v>
      </c>
      <c r="K2" s="38" t="s">
        <v>531</v>
      </c>
      <c r="L2" s="38" t="s">
        <v>5</v>
      </c>
      <c r="M2" s="38" t="s">
        <v>577</v>
      </c>
      <c r="N2" s="39" t="s">
        <v>578</v>
      </c>
      <c r="O2" s="91" t="s">
        <v>588</v>
      </c>
      <c r="P2" s="87" t="s">
        <v>583</v>
      </c>
      <c r="Q2" s="87" t="s">
        <v>585</v>
      </c>
      <c r="R2" s="87" t="s">
        <v>625</v>
      </c>
    </row>
    <row r="3" spans="1:18" ht="15" thickTop="1" x14ac:dyDescent="0.3">
      <c r="A3">
        <f>H3</f>
        <v>0</v>
      </c>
      <c r="B3" t="str">
        <f>H3&amp;" "&amp;COUNTIFS($H$3:H3,H3)</f>
        <v xml:space="preserve"> 0</v>
      </c>
      <c r="C3" s="107">
        <v>45383</v>
      </c>
      <c r="D3" s="35"/>
      <c r="E3" s="35"/>
      <c r="F3" s="35" t="s">
        <v>653</v>
      </c>
      <c r="G3" s="35"/>
      <c r="H3" s="35"/>
      <c r="I3" s="105" t="str">
        <f>IF(K3="","",L3/K3)</f>
        <v/>
      </c>
      <c r="J3" s="44"/>
      <c r="K3" s="44"/>
      <c r="L3" s="36">
        <v>0</v>
      </c>
      <c r="M3" s="35"/>
      <c r="N3" s="46"/>
      <c r="O3" s="90"/>
      <c r="P3" s="2" t="str">
        <f t="shared" ref="P3:P66" si="0">IFERROR(VLOOKUP(O3,DAFTAR_TOKO,2,FALSE),"")</f>
        <v/>
      </c>
      <c r="Q3" s="2" t="str">
        <f t="shared" ref="Q3:Q66" si="1">IFERROR(VLOOKUP(O3,DAFTAR_TOKO,3,FALSE),"")</f>
        <v/>
      </c>
      <c r="R3" s="156">
        <f>IF(C3="","",C3)</f>
        <v>45383</v>
      </c>
    </row>
    <row r="4" spans="1:18" x14ac:dyDescent="0.3">
      <c r="A4">
        <f t="shared" ref="A4:A67" si="2">H4</f>
        <v>0</v>
      </c>
      <c r="B4" t="str">
        <f>H4&amp;" "&amp;COUNTIFS($H$3:H4,H4)</f>
        <v xml:space="preserve"> 0</v>
      </c>
      <c r="C4" s="34">
        <v>45383</v>
      </c>
      <c r="D4" s="32"/>
      <c r="E4" s="32"/>
      <c r="F4" s="32" t="s">
        <v>654</v>
      </c>
      <c r="G4" s="35"/>
      <c r="H4" s="32"/>
      <c r="I4" s="105" t="str">
        <f t="shared" ref="I4:I67" si="3">IF(K4="","",L4/K4)</f>
        <v/>
      </c>
      <c r="J4" s="45"/>
      <c r="K4" s="45"/>
      <c r="L4" s="33">
        <v>0</v>
      </c>
      <c r="M4" s="32"/>
      <c r="N4" s="47"/>
      <c r="O4" s="88"/>
      <c r="P4" s="2" t="str">
        <f t="shared" si="0"/>
        <v/>
      </c>
      <c r="Q4" s="2" t="str">
        <f t="shared" si="1"/>
        <v/>
      </c>
      <c r="R4" s="156">
        <f t="shared" ref="R4:R67" si="4">IF(C4="","",C4)</f>
        <v>45383</v>
      </c>
    </row>
    <row r="5" spans="1:18" x14ac:dyDescent="0.3">
      <c r="A5" t="str">
        <f t="shared" si="2"/>
        <v>BPU01</v>
      </c>
      <c r="B5" t="str">
        <f>H5&amp;" "&amp;COUNTIFS($H$3:H5,H5)</f>
        <v>BPU01 1</v>
      </c>
      <c r="C5" s="34">
        <v>45384</v>
      </c>
      <c r="D5" s="32" t="s">
        <v>573</v>
      </c>
      <c r="E5" s="32" t="s">
        <v>647</v>
      </c>
      <c r="F5" s="32" t="s">
        <v>718</v>
      </c>
      <c r="G5" s="32" t="str">
        <f>"Pembayaran Honorarium Guru Honor Sekolah an. "&amp;F5&amp;" bulan Januari - April"</f>
        <v>Pembayaran Honorarium Guru Honor Sekolah an. Tenten, S.Pd. bulan Januari - April</v>
      </c>
      <c r="H5" s="32" t="s">
        <v>6</v>
      </c>
      <c r="I5" s="105">
        <f t="shared" si="3"/>
        <v>1</v>
      </c>
      <c r="J5" s="45" t="s">
        <v>691</v>
      </c>
      <c r="K5" s="45">
        <f>L5</f>
        <v>1100000</v>
      </c>
      <c r="L5" s="33">
        <v>1100000</v>
      </c>
      <c r="M5" s="32" t="s">
        <v>683</v>
      </c>
      <c r="N5" s="47"/>
      <c r="O5" s="88"/>
      <c r="P5" s="2" t="str">
        <f t="shared" si="0"/>
        <v/>
      </c>
      <c r="Q5" s="2" t="str">
        <f t="shared" si="1"/>
        <v/>
      </c>
      <c r="R5" s="156">
        <f t="shared" si="4"/>
        <v>45384</v>
      </c>
    </row>
    <row r="6" spans="1:18" ht="15" customHeight="1" x14ac:dyDescent="0.3">
      <c r="A6" t="str">
        <f t="shared" si="2"/>
        <v>BPU01</v>
      </c>
      <c r="B6" t="str">
        <f>H6&amp;" "&amp;COUNTIFS($H$3:H6,H6)</f>
        <v>BPU01 2</v>
      </c>
      <c r="C6" s="34">
        <v>45384</v>
      </c>
      <c r="D6" s="32" t="s">
        <v>573</v>
      </c>
      <c r="E6" s="32" t="s">
        <v>647</v>
      </c>
      <c r="F6" s="32" t="s">
        <v>718</v>
      </c>
      <c r="G6" s="32" t="str">
        <f t="shared" ref="G6:G16" si="5">"Pembayaran Honorarium Guru Honor Sekolah an. "&amp;F6&amp;" bulan Januari - April"</f>
        <v>Pembayaran Honorarium Guru Honor Sekolah an. Tenten, S.Pd. bulan Januari - April</v>
      </c>
      <c r="H6" s="32" t="s">
        <v>6</v>
      </c>
      <c r="I6" s="105">
        <f t="shared" si="3"/>
        <v>1</v>
      </c>
      <c r="J6" s="45" t="s">
        <v>691</v>
      </c>
      <c r="K6" s="45">
        <f t="shared" ref="K6:K16" si="6">L6</f>
        <v>1100000</v>
      </c>
      <c r="L6" s="33">
        <v>1100000</v>
      </c>
      <c r="M6" s="32" t="s">
        <v>683</v>
      </c>
      <c r="N6" s="47"/>
      <c r="O6" s="88"/>
      <c r="P6" s="2" t="str">
        <f t="shared" si="0"/>
        <v/>
      </c>
      <c r="Q6" s="2" t="str">
        <f t="shared" si="1"/>
        <v/>
      </c>
      <c r="R6" s="156">
        <f t="shared" si="4"/>
        <v>45384</v>
      </c>
    </row>
    <row r="7" spans="1:18" ht="15" customHeight="1" x14ac:dyDescent="0.3">
      <c r="A7" t="str">
        <f t="shared" si="2"/>
        <v>BPU01</v>
      </c>
      <c r="B7" t="str">
        <f>H7&amp;" "&amp;COUNTIFS($H$3:H7,H7)</f>
        <v>BPU01 3</v>
      </c>
      <c r="C7" s="34">
        <v>45384</v>
      </c>
      <c r="D7" s="32" t="s">
        <v>573</v>
      </c>
      <c r="E7" s="32" t="s">
        <v>647</v>
      </c>
      <c r="F7" s="32" t="s">
        <v>718</v>
      </c>
      <c r="G7" s="32" t="str">
        <f t="shared" si="5"/>
        <v>Pembayaran Honorarium Guru Honor Sekolah an. Tenten, S.Pd. bulan Januari - April</v>
      </c>
      <c r="H7" s="32" t="s">
        <v>6</v>
      </c>
      <c r="I7" s="105">
        <f t="shared" si="3"/>
        <v>1</v>
      </c>
      <c r="J7" s="45" t="s">
        <v>691</v>
      </c>
      <c r="K7" s="45">
        <f t="shared" si="6"/>
        <v>1100000</v>
      </c>
      <c r="L7" s="33">
        <v>1100000</v>
      </c>
      <c r="M7" s="32" t="s">
        <v>683</v>
      </c>
      <c r="N7" s="47"/>
      <c r="O7" s="88"/>
      <c r="P7" s="2" t="str">
        <f t="shared" si="0"/>
        <v/>
      </c>
      <c r="Q7" s="2" t="str">
        <f t="shared" si="1"/>
        <v/>
      </c>
      <c r="R7" s="156">
        <f t="shared" si="4"/>
        <v>45384</v>
      </c>
    </row>
    <row r="8" spans="1:18" x14ac:dyDescent="0.3">
      <c r="A8" t="str">
        <f t="shared" si="2"/>
        <v>BPU01</v>
      </c>
      <c r="B8" t="str">
        <f>H8&amp;" "&amp;COUNTIFS($H$3:H8,H8)</f>
        <v>BPU01 4</v>
      </c>
      <c r="C8" s="34">
        <v>45384</v>
      </c>
      <c r="D8" s="32" t="s">
        <v>573</v>
      </c>
      <c r="E8" s="32" t="s">
        <v>647</v>
      </c>
      <c r="F8" s="32" t="s">
        <v>718</v>
      </c>
      <c r="G8" s="32" t="str">
        <f t="shared" si="5"/>
        <v>Pembayaran Honorarium Guru Honor Sekolah an. Tenten, S.Pd. bulan Januari - April</v>
      </c>
      <c r="H8" s="32" t="s">
        <v>6</v>
      </c>
      <c r="I8" s="105">
        <f t="shared" si="3"/>
        <v>1</v>
      </c>
      <c r="J8" s="45" t="s">
        <v>691</v>
      </c>
      <c r="K8" s="45">
        <f t="shared" si="6"/>
        <v>1100000</v>
      </c>
      <c r="L8" s="33">
        <v>1100000</v>
      </c>
      <c r="M8" s="32" t="s">
        <v>683</v>
      </c>
      <c r="N8" s="47"/>
      <c r="O8" s="88"/>
      <c r="P8" s="2" t="str">
        <f t="shared" si="0"/>
        <v/>
      </c>
      <c r="Q8" s="2" t="str">
        <f t="shared" si="1"/>
        <v/>
      </c>
      <c r="R8" s="156">
        <f t="shared" si="4"/>
        <v>45384</v>
      </c>
    </row>
    <row r="9" spans="1:18" x14ac:dyDescent="0.3">
      <c r="A9" t="str">
        <f t="shared" si="2"/>
        <v>BPU02</v>
      </c>
      <c r="B9" t="str">
        <f>H9&amp;" "&amp;COUNTIFS($H$3:H9,H9)</f>
        <v>BPU02 1</v>
      </c>
      <c r="C9" s="34">
        <v>45384</v>
      </c>
      <c r="D9" s="32" t="s">
        <v>573</v>
      </c>
      <c r="E9" s="32" t="s">
        <v>647</v>
      </c>
      <c r="F9" s="32" t="s">
        <v>719</v>
      </c>
      <c r="G9" s="32" t="str">
        <f t="shared" si="5"/>
        <v>Pembayaran Honorarium Guru Honor Sekolah an. Sakura, S.Pd. bulan Januari - April</v>
      </c>
      <c r="H9" s="32" t="s">
        <v>7</v>
      </c>
      <c r="I9" s="105">
        <f t="shared" si="3"/>
        <v>1</v>
      </c>
      <c r="J9" s="45" t="s">
        <v>691</v>
      </c>
      <c r="K9" s="45">
        <f t="shared" si="6"/>
        <v>1100000</v>
      </c>
      <c r="L9" s="33">
        <v>1100000</v>
      </c>
      <c r="M9" s="32" t="s">
        <v>683</v>
      </c>
      <c r="N9" s="47"/>
      <c r="O9" s="88"/>
      <c r="P9" s="2" t="str">
        <f t="shared" si="0"/>
        <v/>
      </c>
      <c r="Q9" s="2" t="str">
        <f t="shared" si="1"/>
        <v/>
      </c>
      <c r="R9" s="156">
        <f t="shared" si="4"/>
        <v>45384</v>
      </c>
    </row>
    <row r="10" spans="1:18" x14ac:dyDescent="0.3">
      <c r="A10" t="str">
        <f t="shared" si="2"/>
        <v>BPU02</v>
      </c>
      <c r="B10" t="str">
        <f>H10&amp;" "&amp;COUNTIFS($H$3:H10,H10)</f>
        <v>BPU02 2</v>
      </c>
      <c r="C10" s="34">
        <v>45384</v>
      </c>
      <c r="D10" s="32" t="s">
        <v>573</v>
      </c>
      <c r="E10" s="32" t="s">
        <v>647</v>
      </c>
      <c r="F10" s="32" t="s">
        <v>719</v>
      </c>
      <c r="G10" s="32" t="str">
        <f t="shared" si="5"/>
        <v>Pembayaran Honorarium Guru Honor Sekolah an. Sakura, S.Pd. bulan Januari - April</v>
      </c>
      <c r="H10" s="32" t="s">
        <v>7</v>
      </c>
      <c r="I10" s="105">
        <f t="shared" si="3"/>
        <v>1</v>
      </c>
      <c r="J10" s="45" t="s">
        <v>691</v>
      </c>
      <c r="K10" s="45">
        <f t="shared" si="6"/>
        <v>1100000</v>
      </c>
      <c r="L10" s="33">
        <v>1100000</v>
      </c>
      <c r="M10" s="32" t="s">
        <v>683</v>
      </c>
      <c r="N10" s="47"/>
      <c r="O10" s="88"/>
      <c r="P10" s="2" t="str">
        <f t="shared" si="0"/>
        <v/>
      </c>
      <c r="Q10" s="2" t="str">
        <f t="shared" si="1"/>
        <v/>
      </c>
      <c r="R10" s="156">
        <f t="shared" si="4"/>
        <v>45384</v>
      </c>
    </row>
    <row r="11" spans="1:18" x14ac:dyDescent="0.3">
      <c r="A11" t="str">
        <f t="shared" si="2"/>
        <v>BPU02</v>
      </c>
      <c r="B11" t="str">
        <f>H11&amp;" "&amp;COUNTIFS($H$3:H11,H11)</f>
        <v>BPU02 3</v>
      </c>
      <c r="C11" s="34">
        <v>45384</v>
      </c>
      <c r="D11" s="32" t="s">
        <v>573</v>
      </c>
      <c r="E11" s="32" t="s">
        <v>647</v>
      </c>
      <c r="F11" s="32" t="s">
        <v>719</v>
      </c>
      <c r="G11" s="32" t="str">
        <f t="shared" si="5"/>
        <v>Pembayaran Honorarium Guru Honor Sekolah an. Sakura, S.Pd. bulan Januari - April</v>
      </c>
      <c r="H11" s="32" t="s">
        <v>7</v>
      </c>
      <c r="I11" s="105">
        <f t="shared" si="3"/>
        <v>1</v>
      </c>
      <c r="J11" s="45" t="s">
        <v>691</v>
      </c>
      <c r="K11" s="45">
        <f t="shared" si="6"/>
        <v>1100000</v>
      </c>
      <c r="L11" s="33">
        <v>1100000</v>
      </c>
      <c r="M11" s="32" t="s">
        <v>683</v>
      </c>
      <c r="N11" s="47"/>
      <c r="O11" s="88"/>
      <c r="P11" s="2" t="str">
        <f t="shared" si="0"/>
        <v/>
      </c>
      <c r="Q11" s="2" t="str">
        <f t="shared" si="1"/>
        <v/>
      </c>
      <c r="R11" s="156">
        <f t="shared" si="4"/>
        <v>45384</v>
      </c>
    </row>
    <row r="12" spans="1:18" ht="15" customHeight="1" x14ac:dyDescent="0.3">
      <c r="A12" t="str">
        <f t="shared" si="2"/>
        <v>BPU02</v>
      </c>
      <c r="B12" t="str">
        <f>H12&amp;" "&amp;COUNTIFS($H$3:H12,H12)</f>
        <v>BPU02 4</v>
      </c>
      <c r="C12" s="34">
        <v>45384</v>
      </c>
      <c r="D12" s="32" t="s">
        <v>573</v>
      </c>
      <c r="E12" s="32" t="s">
        <v>647</v>
      </c>
      <c r="F12" s="32" t="s">
        <v>719</v>
      </c>
      <c r="G12" s="32" t="str">
        <f t="shared" si="5"/>
        <v>Pembayaran Honorarium Guru Honor Sekolah an. Sakura, S.Pd. bulan Januari - April</v>
      </c>
      <c r="H12" s="32" t="s">
        <v>7</v>
      </c>
      <c r="I12" s="105">
        <f t="shared" si="3"/>
        <v>1</v>
      </c>
      <c r="J12" s="45" t="s">
        <v>691</v>
      </c>
      <c r="K12" s="45">
        <f t="shared" si="6"/>
        <v>1100000</v>
      </c>
      <c r="L12" s="33">
        <v>1100000</v>
      </c>
      <c r="M12" s="32" t="s">
        <v>683</v>
      </c>
      <c r="N12" s="47"/>
      <c r="O12" s="88"/>
      <c r="P12" s="2" t="str">
        <f t="shared" si="0"/>
        <v/>
      </c>
      <c r="Q12" s="2" t="str">
        <f t="shared" si="1"/>
        <v/>
      </c>
      <c r="R12" s="156">
        <f t="shared" si="4"/>
        <v>45384</v>
      </c>
    </row>
    <row r="13" spans="1:18" x14ac:dyDescent="0.3">
      <c r="A13" t="str">
        <f t="shared" si="2"/>
        <v>BPU03</v>
      </c>
      <c r="B13" t="str">
        <f>H13&amp;" "&amp;COUNTIFS($H$3:H13,H13)</f>
        <v>BPU03 1</v>
      </c>
      <c r="C13" s="34">
        <v>45384</v>
      </c>
      <c r="D13" s="32" t="s">
        <v>573</v>
      </c>
      <c r="E13" s="32" t="s">
        <v>647</v>
      </c>
      <c r="F13" s="32" t="s">
        <v>720</v>
      </c>
      <c r="G13" s="32" t="str">
        <f t="shared" si="5"/>
        <v>Pembayaran Honorarium Guru Honor Sekolah an. Kiba, S.Pd. bulan Januari - April</v>
      </c>
      <c r="H13" s="32" t="s">
        <v>8</v>
      </c>
      <c r="I13" s="105">
        <f t="shared" si="3"/>
        <v>1</v>
      </c>
      <c r="J13" s="45" t="s">
        <v>691</v>
      </c>
      <c r="K13" s="45">
        <f t="shared" si="6"/>
        <v>1000000</v>
      </c>
      <c r="L13" s="33">
        <v>1000000</v>
      </c>
      <c r="M13" s="32" t="s">
        <v>683</v>
      </c>
      <c r="N13" s="47"/>
      <c r="O13" s="88"/>
      <c r="P13" s="2" t="str">
        <f t="shared" si="0"/>
        <v/>
      </c>
      <c r="Q13" s="2" t="str">
        <f t="shared" si="1"/>
        <v/>
      </c>
      <c r="R13" s="156">
        <f t="shared" si="4"/>
        <v>45384</v>
      </c>
    </row>
    <row r="14" spans="1:18" x14ac:dyDescent="0.3">
      <c r="A14" t="str">
        <f t="shared" si="2"/>
        <v>BPU03</v>
      </c>
      <c r="B14" t="str">
        <f>H14&amp;" "&amp;COUNTIFS($H$3:H14,H14)</f>
        <v>BPU03 2</v>
      </c>
      <c r="C14" s="34">
        <v>45384</v>
      </c>
      <c r="D14" s="32" t="s">
        <v>573</v>
      </c>
      <c r="E14" s="32" t="s">
        <v>647</v>
      </c>
      <c r="F14" s="32" t="s">
        <v>720</v>
      </c>
      <c r="G14" s="32" t="str">
        <f t="shared" si="5"/>
        <v>Pembayaran Honorarium Guru Honor Sekolah an. Kiba, S.Pd. bulan Januari - April</v>
      </c>
      <c r="H14" s="32" t="s">
        <v>8</v>
      </c>
      <c r="I14" s="105">
        <f t="shared" si="3"/>
        <v>1</v>
      </c>
      <c r="J14" s="45" t="s">
        <v>691</v>
      </c>
      <c r="K14" s="45">
        <f t="shared" si="6"/>
        <v>1000000</v>
      </c>
      <c r="L14" s="33">
        <v>1000000</v>
      </c>
      <c r="M14" s="32" t="s">
        <v>683</v>
      </c>
      <c r="N14" s="47"/>
      <c r="O14" s="88"/>
      <c r="P14" s="2" t="str">
        <f t="shared" si="0"/>
        <v/>
      </c>
      <c r="Q14" s="2" t="str">
        <f t="shared" si="1"/>
        <v/>
      </c>
      <c r="R14" s="156">
        <f t="shared" si="4"/>
        <v>45384</v>
      </c>
    </row>
    <row r="15" spans="1:18" ht="15" customHeight="1" x14ac:dyDescent="0.3">
      <c r="A15" t="str">
        <f t="shared" si="2"/>
        <v>BPU03</v>
      </c>
      <c r="B15" t="str">
        <f>H15&amp;" "&amp;COUNTIFS($H$3:H15,H15)</f>
        <v>BPU03 3</v>
      </c>
      <c r="C15" s="34">
        <v>45384</v>
      </c>
      <c r="D15" s="32" t="s">
        <v>573</v>
      </c>
      <c r="E15" s="32" t="s">
        <v>647</v>
      </c>
      <c r="F15" s="32" t="s">
        <v>720</v>
      </c>
      <c r="G15" s="32" t="str">
        <f t="shared" si="5"/>
        <v>Pembayaran Honorarium Guru Honor Sekolah an. Kiba, S.Pd. bulan Januari - April</v>
      </c>
      <c r="H15" s="32" t="s">
        <v>8</v>
      </c>
      <c r="I15" s="105">
        <f t="shared" si="3"/>
        <v>1</v>
      </c>
      <c r="J15" s="45" t="s">
        <v>691</v>
      </c>
      <c r="K15" s="45">
        <f t="shared" si="6"/>
        <v>1000000</v>
      </c>
      <c r="L15" s="33">
        <v>1000000</v>
      </c>
      <c r="M15" s="32" t="s">
        <v>683</v>
      </c>
      <c r="N15" s="47"/>
      <c r="O15" s="88"/>
      <c r="P15" s="2" t="str">
        <f t="shared" si="0"/>
        <v/>
      </c>
      <c r="Q15" s="2" t="str">
        <f t="shared" si="1"/>
        <v/>
      </c>
      <c r="R15" s="156">
        <f t="shared" si="4"/>
        <v>45384</v>
      </c>
    </row>
    <row r="16" spans="1:18" x14ac:dyDescent="0.3">
      <c r="A16" t="str">
        <f t="shared" si="2"/>
        <v>BPU03</v>
      </c>
      <c r="B16" t="str">
        <f>H16&amp;" "&amp;COUNTIFS($H$3:H16,H16)</f>
        <v>BPU03 4</v>
      </c>
      <c r="C16" s="34">
        <v>45384</v>
      </c>
      <c r="D16" s="32" t="s">
        <v>573</v>
      </c>
      <c r="E16" s="32" t="s">
        <v>647</v>
      </c>
      <c r="F16" s="32" t="s">
        <v>720</v>
      </c>
      <c r="G16" s="32" t="str">
        <f t="shared" si="5"/>
        <v>Pembayaran Honorarium Guru Honor Sekolah an. Kiba, S.Pd. bulan Januari - April</v>
      </c>
      <c r="H16" s="32" t="s">
        <v>8</v>
      </c>
      <c r="I16" s="105">
        <f t="shared" si="3"/>
        <v>1</v>
      </c>
      <c r="J16" s="45" t="s">
        <v>691</v>
      </c>
      <c r="K16" s="45">
        <f t="shared" si="6"/>
        <v>1000000</v>
      </c>
      <c r="L16" s="33">
        <v>1000000</v>
      </c>
      <c r="M16" s="32" t="s">
        <v>683</v>
      </c>
      <c r="N16" s="47"/>
      <c r="O16" s="88"/>
      <c r="P16" s="2" t="str">
        <f t="shared" si="0"/>
        <v/>
      </c>
      <c r="Q16" s="2" t="str">
        <f t="shared" si="1"/>
        <v/>
      </c>
      <c r="R16" s="156">
        <f t="shared" si="4"/>
        <v>45384</v>
      </c>
    </row>
    <row r="17" spans="1:18" x14ac:dyDescent="0.3">
      <c r="A17" t="str">
        <f t="shared" si="2"/>
        <v>BPU04</v>
      </c>
      <c r="B17" t="str">
        <f>H17&amp;" "&amp;COUNTIFS($H$3:H17,H17)</f>
        <v>BPU04 1</v>
      </c>
      <c r="C17" s="34">
        <v>45384</v>
      </c>
      <c r="D17" s="32" t="s">
        <v>641</v>
      </c>
      <c r="E17" s="32" t="s">
        <v>648</v>
      </c>
      <c r="F17" s="32" t="s">
        <v>655</v>
      </c>
      <c r="G17" s="106" t="s">
        <v>670</v>
      </c>
      <c r="H17" s="32" t="s">
        <v>9</v>
      </c>
      <c r="I17" s="105">
        <f t="shared" si="3"/>
        <v>20</v>
      </c>
      <c r="J17" s="45" t="s">
        <v>593</v>
      </c>
      <c r="K17" s="45">
        <v>500</v>
      </c>
      <c r="L17" s="33">
        <v>10000</v>
      </c>
      <c r="M17" s="32" t="s">
        <v>592</v>
      </c>
      <c r="N17" s="47"/>
      <c r="O17" s="88" t="s">
        <v>726</v>
      </c>
      <c r="P17" s="2" t="str">
        <f t="shared" si="0"/>
        <v>006000</v>
      </c>
      <c r="Q17" s="2" t="str">
        <f t="shared" si="1"/>
        <v>Jalan Ninja Nomor 2, Desa Konohagakure, Negara Api</v>
      </c>
      <c r="R17" s="156">
        <f t="shared" si="4"/>
        <v>45384</v>
      </c>
    </row>
    <row r="18" spans="1:18" x14ac:dyDescent="0.3">
      <c r="A18" t="str">
        <f t="shared" si="2"/>
        <v>BPU05</v>
      </c>
      <c r="B18" t="str">
        <f>H18&amp;" "&amp;COUNTIFS($H$3:H18,H18)</f>
        <v>BPU05 1</v>
      </c>
      <c r="C18" s="34">
        <v>45385</v>
      </c>
      <c r="D18" s="32" t="s">
        <v>642</v>
      </c>
      <c r="E18" s="32" t="s">
        <v>649</v>
      </c>
      <c r="F18" s="32" t="s">
        <v>656</v>
      </c>
      <c r="G18" s="106" t="s">
        <v>671</v>
      </c>
      <c r="H18" s="32" t="s">
        <v>10</v>
      </c>
      <c r="I18" s="105">
        <f t="shared" si="3"/>
        <v>12</v>
      </c>
      <c r="J18" s="45" t="s">
        <v>672</v>
      </c>
      <c r="K18" s="45">
        <v>16500</v>
      </c>
      <c r="L18" s="33">
        <v>198000</v>
      </c>
      <c r="M18" s="32" t="s">
        <v>592</v>
      </c>
      <c r="N18" s="47"/>
      <c r="O18" s="88" t="s">
        <v>723</v>
      </c>
      <c r="P18" s="2" t="str">
        <f t="shared" si="0"/>
        <v>005003</v>
      </c>
      <c r="Q18" s="2" t="str">
        <f t="shared" si="1"/>
        <v>Jalan Ninja Nomor 2, Desa Konohagakure, Negara Api</v>
      </c>
      <c r="R18" s="156">
        <f t="shared" si="4"/>
        <v>45385</v>
      </c>
    </row>
    <row r="19" spans="1:18" x14ac:dyDescent="0.3">
      <c r="A19" t="str">
        <f t="shared" si="2"/>
        <v>BPU05</v>
      </c>
      <c r="B19" t="str">
        <f>H19&amp;" "&amp;COUNTIFS($H$3:H19,H19)</f>
        <v>BPU05 2</v>
      </c>
      <c r="C19" s="34">
        <v>45385</v>
      </c>
      <c r="D19" s="32" t="s">
        <v>642</v>
      </c>
      <c r="E19" s="32" t="s">
        <v>649</v>
      </c>
      <c r="F19" s="32" t="s">
        <v>657</v>
      </c>
      <c r="G19" s="106" t="s">
        <v>671</v>
      </c>
      <c r="H19" s="32" t="s">
        <v>10</v>
      </c>
      <c r="I19" s="105">
        <f t="shared" si="3"/>
        <v>10</v>
      </c>
      <c r="J19" s="45" t="s">
        <v>673</v>
      </c>
      <c r="K19" s="45">
        <v>90000</v>
      </c>
      <c r="L19" s="33">
        <v>900000</v>
      </c>
      <c r="M19" s="32" t="s">
        <v>592</v>
      </c>
      <c r="N19" s="47"/>
      <c r="O19" s="88" t="s">
        <v>723</v>
      </c>
      <c r="P19" s="2" t="str">
        <f t="shared" si="0"/>
        <v>005003</v>
      </c>
      <c r="Q19" s="2" t="str">
        <f t="shared" si="1"/>
        <v>Jalan Ninja Nomor 2, Desa Konohagakure, Negara Api</v>
      </c>
      <c r="R19" s="156">
        <f t="shared" si="4"/>
        <v>45385</v>
      </c>
    </row>
    <row r="20" spans="1:18" x14ac:dyDescent="0.3">
      <c r="A20" t="str">
        <f t="shared" si="2"/>
        <v>BPU05</v>
      </c>
      <c r="B20" t="str">
        <f>H20&amp;" "&amp;COUNTIFS($H$3:H20,H20)</f>
        <v>BPU05 3</v>
      </c>
      <c r="C20" s="34">
        <v>45385</v>
      </c>
      <c r="D20" s="32" t="s">
        <v>642</v>
      </c>
      <c r="E20" s="32" t="s">
        <v>649</v>
      </c>
      <c r="F20" s="32" t="s">
        <v>658</v>
      </c>
      <c r="G20" s="106" t="s">
        <v>671</v>
      </c>
      <c r="H20" s="32" t="s">
        <v>10</v>
      </c>
      <c r="I20" s="105">
        <f t="shared" si="3"/>
        <v>1</v>
      </c>
      <c r="J20" s="45" t="s">
        <v>675</v>
      </c>
      <c r="K20" s="45">
        <v>300000</v>
      </c>
      <c r="L20" s="33">
        <v>300000</v>
      </c>
      <c r="M20" s="32" t="s">
        <v>592</v>
      </c>
      <c r="N20" s="47"/>
      <c r="O20" s="88" t="s">
        <v>723</v>
      </c>
      <c r="P20" s="2" t="str">
        <f t="shared" si="0"/>
        <v>005003</v>
      </c>
      <c r="Q20" s="2" t="str">
        <f t="shared" si="1"/>
        <v>Jalan Ninja Nomor 2, Desa Konohagakure, Negara Api</v>
      </c>
      <c r="R20" s="156">
        <f t="shared" si="4"/>
        <v>45385</v>
      </c>
    </row>
    <row r="21" spans="1:18" x14ac:dyDescent="0.3">
      <c r="A21" t="str">
        <f t="shared" si="2"/>
        <v>BPU05</v>
      </c>
      <c r="B21" t="str">
        <f>H21&amp;" "&amp;COUNTIFS($H$3:H21,H21)</f>
        <v>BPU05 4</v>
      </c>
      <c r="C21" s="34">
        <v>45385</v>
      </c>
      <c r="D21" s="32" t="s">
        <v>642</v>
      </c>
      <c r="E21" s="32" t="s">
        <v>649</v>
      </c>
      <c r="F21" s="32" t="s">
        <v>659</v>
      </c>
      <c r="G21" s="106" t="s">
        <v>671</v>
      </c>
      <c r="H21" s="32" t="s">
        <v>10</v>
      </c>
      <c r="I21" s="105">
        <f t="shared" si="3"/>
        <v>24</v>
      </c>
      <c r="J21" s="45" t="s">
        <v>674</v>
      </c>
      <c r="K21" s="45">
        <v>10000</v>
      </c>
      <c r="L21" s="33">
        <v>240000</v>
      </c>
      <c r="M21" s="32" t="s">
        <v>592</v>
      </c>
      <c r="N21" s="47"/>
      <c r="O21" s="88" t="s">
        <v>723</v>
      </c>
      <c r="P21" s="2" t="str">
        <f t="shared" si="0"/>
        <v>005003</v>
      </c>
      <c r="Q21" s="2" t="str">
        <f t="shared" si="1"/>
        <v>Jalan Ninja Nomor 2, Desa Konohagakure, Negara Api</v>
      </c>
      <c r="R21" s="156">
        <f t="shared" si="4"/>
        <v>45385</v>
      </c>
    </row>
    <row r="22" spans="1:18" ht="15" customHeight="1" x14ac:dyDescent="0.3">
      <c r="A22" t="str">
        <f t="shared" si="2"/>
        <v>BPU05</v>
      </c>
      <c r="B22" t="str">
        <f>H22&amp;" "&amp;COUNTIFS($H$3:H22,H22)</f>
        <v>BPU05 5</v>
      </c>
      <c r="C22" s="34">
        <v>45385</v>
      </c>
      <c r="D22" s="32" t="s">
        <v>642</v>
      </c>
      <c r="E22" s="32" t="s">
        <v>649</v>
      </c>
      <c r="F22" s="32" t="s">
        <v>660</v>
      </c>
      <c r="G22" s="106" t="s">
        <v>671</v>
      </c>
      <c r="H22" s="32" t="s">
        <v>10</v>
      </c>
      <c r="I22" s="105">
        <f t="shared" si="3"/>
        <v>1</v>
      </c>
      <c r="J22" s="45" t="s">
        <v>675</v>
      </c>
      <c r="K22" s="45">
        <v>350000</v>
      </c>
      <c r="L22" s="33">
        <v>350000</v>
      </c>
      <c r="M22" s="32" t="s">
        <v>592</v>
      </c>
      <c r="N22" s="47"/>
      <c r="O22" s="88" t="s">
        <v>723</v>
      </c>
      <c r="P22" s="2" t="str">
        <f t="shared" si="0"/>
        <v>005003</v>
      </c>
      <c r="Q22" s="2" t="str">
        <f t="shared" si="1"/>
        <v>Jalan Ninja Nomor 2, Desa Konohagakure, Negara Api</v>
      </c>
      <c r="R22" s="156">
        <f t="shared" si="4"/>
        <v>45385</v>
      </c>
    </row>
    <row r="23" spans="1:18" ht="15" customHeight="1" x14ac:dyDescent="0.3">
      <c r="A23" t="str">
        <f t="shared" si="2"/>
        <v>BPU06</v>
      </c>
      <c r="B23" t="str">
        <f>H23&amp;" "&amp;COUNTIFS($H$3:H23,H23)</f>
        <v>BPU06 1</v>
      </c>
      <c r="C23" s="34">
        <v>45386</v>
      </c>
      <c r="D23" s="32" t="s">
        <v>643</v>
      </c>
      <c r="E23" s="32" t="s">
        <v>648</v>
      </c>
      <c r="F23" s="32" t="s">
        <v>655</v>
      </c>
      <c r="G23" s="106" t="s">
        <v>677</v>
      </c>
      <c r="H23" s="32" t="s">
        <v>11</v>
      </c>
      <c r="I23" s="105">
        <f t="shared" si="3"/>
        <v>3000</v>
      </c>
      <c r="J23" s="45" t="s">
        <v>593</v>
      </c>
      <c r="K23" s="45">
        <v>500</v>
      </c>
      <c r="L23" s="33">
        <v>1500000</v>
      </c>
      <c r="M23" s="32" t="s">
        <v>592</v>
      </c>
      <c r="N23" s="47"/>
      <c r="O23" s="88" t="s">
        <v>726</v>
      </c>
      <c r="P23" s="2" t="str">
        <f t="shared" si="0"/>
        <v>006000</v>
      </c>
      <c r="Q23" s="2" t="str">
        <f t="shared" si="1"/>
        <v>Jalan Ninja Nomor 2, Desa Konohagakure, Negara Api</v>
      </c>
      <c r="R23" s="156">
        <f t="shared" si="4"/>
        <v>45386</v>
      </c>
    </row>
    <row r="24" spans="1:18" x14ac:dyDescent="0.3">
      <c r="A24" t="str">
        <f t="shared" si="2"/>
        <v>BPU07</v>
      </c>
      <c r="B24" t="str">
        <f>H24&amp;" "&amp;COUNTIFS($H$3:H24,H24)</f>
        <v>BPU07 1</v>
      </c>
      <c r="C24" s="34">
        <v>45386</v>
      </c>
      <c r="D24" s="32" t="s">
        <v>644</v>
      </c>
      <c r="E24" s="32" t="s">
        <v>650</v>
      </c>
      <c r="F24" s="32" t="s">
        <v>661</v>
      </c>
      <c r="G24" s="106" t="s">
        <v>685</v>
      </c>
      <c r="H24" s="32" t="s">
        <v>12</v>
      </c>
      <c r="I24" s="105">
        <f t="shared" si="3"/>
        <v>7</v>
      </c>
      <c r="J24" s="45" t="s">
        <v>682</v>
      </c>
      <c r="K24" s="45">
        <v>150000</v>
      </c>
      <c r="L24" s="33">
        <v>1050000</v>
      </c>
      <c r="M24" s="32" t="s">
        <v>683</v>
      </c>
      <c r="N24" s="47"/>
      <c r="O24" s="88"/>
      <c r="P24" s="2" t="str">
        <f t="shared" si="0"/>
        <v/>
      </c>
      <c r="Q24" s="2" t="str">
        <f t="shared" si="1"/>
        <v/>
      </c>
      <c r="R24" s="156">
        <f t="shared" si="4"/>
        <v>45386</v>
      </c>
    </row>
    <row r="25" spans="1:18" x14ac:dyDescent="0.3">
      <c r="A25" t="str">
        <f t="shared" si="2"/>
        <v>BPU08</v>
      </c>
      <c r="B25" t="str">
        <f>H25&amp;" "&amp;COUNTIFS($H$3:H25,H25)</f>
        <v>BPU08 1</v>
      </c>
      <c r="C25" s="34">
        <v>45391</v>
      </c>
      <c r="D25" s="32" t="s">
        <v>645</v>
      </c>
      <c r="E25" s="32" t="s">
        <v>650</v>
      </c>
      <c r="F25" s="32" t="s">
        <v>661</v>
      </c>
      <c r="G25" s="106" t="s">
        <v>702</v>
      </c>
      <c r="H25" s="32" t="s">
        <v>13</v>
      </c>
      <c r="I25" s="105">
        <f t="shared" si="3"/>
        <v>1</v>
      </c>
      <c r="J25" s="45" t="s">
        <v>682</v>
      </c>
      <c r="K25" s="45">
        <v>200000</v>
      </c>
      <c r="L25" s="33">
        <v>200000</v>
      </c>
      <c r="M25" s="32" t="s">
        <v>683</v>
      </c>
      <c r="N25" s="47"/>
      <c r="O25" s="88"/>
      <c r="P25" s="2" t="str">
        <f t="shared" si="0"/>
        <v/>
      </c>
      <c r="Q25" s="2" t="str">
        <f t="shared" si="1"/>
        <v/>
      </c>
      <c r="R25" s="156">
        <f t="shared" si="4"/>
        <v>45391</v>
      </c>
    </row>
    <row r="26" spans="1:18" x14ac:dyDescent="0.3">
      <c r="A26" t="str">
        <f t="shared" si="2"/>
        <v>BPU08</v>
      </c>
      <c r="B26" t="str">
        <f>H26&amp;" "&amp;COUNTIFS($H$3:H26,H26)</f>
        <v>BPU08 2</v>
      </c>
      <c r="C26" s="34">
        <v>45391</v>
      </c>
      <c r="D26" s="32" t="s">
        <v>645</v>
      </c>
      <c r="E26" s="32" t="s">
        <v>650</v>
      </c>
      <c r="F26" s="32" t="s">
        <v>661</v>
      </c>
      <c r="G26" s="32" t="s">
        <v>684</v>
      </c>
      <c r="H26" s="32" t="s">
        <v>13</v>
      </c>
      <c r="I26" s="105">
        <f t="shared" si="3"/>
        <v>2</v>
      </c>
      <c r="J26" s="45" t="s">
        <v>682</v>
      </c>
      <c r="K26" s="45">
        <v>200000</v>
      </c>
      <c r="L26" s="33">
        <v>400000</v>
      </c>
      <c r="M26" s="32" t="s">
        <v>683</v>
      </c>
      <c r="N26" s="47"/>
      <c r="O26" s="88"/>
      <c r="P26" s="2" t="str">
        <f t="shared" si="0"/>
        <v/>
      </c>
      <c r="Q26" s="2" t="str">
        <f t="shared" si="1"/>
        <v/>
      </c>
      <c r="R26" s="156">
        <f t="shared" si="4"/>
        <v>45391</v>
      </c>
    </row>
    <row r="27" spans="1:18" x14ac:dyDescent="0.3">
      <c r="A27" t="str">
        <f t="shared" si="2"/>
        <v>BPU08</v>
      </c>
      <c r="B27" t="str">
        <f>H27&amp;" "&amp;COUNTIFS($H$3:H27,H27)</f>
        <v>BPU08 3</v>
      </c>
      <c r="C27" s="34">
        <v>45391</v>
      </c>
      <c r="D27" s="32" t="s">
        <v>645</v>
      </c>
      <c r="E27" s="32" t="s">
        <v>650</v>
      </c>
      <c r="F27" s="32" t="s">
        <v>661</v>
      </c>
      <c r="G27" s="32" t="s">
        <v>686</v>
      </c>
      <c r="H27" s="32" t="s">
        <v>13</v>
      </c>
      <c r="I27" s="105">
        <f t="shared" si="3"/>
        <v>2</v>
      </c>
      <c r="J27" s="45" t="s">
        <v>682</v>
      </c>
      <c r="K27" s="45">
        <v>200000</v>
      </c>
      <c r="L27" s="33">
        <v>400000</v>
      </c>
      <c r="M27" s="32" t="s">
        <v>683</v>
      </c>
      <c r="N27" s="47"/>
      <c r="O27" s="88"/>
      <c r="P27" s="2" t="str">
        <f t="shared" si="0"/>
        <v/>
      </c>
      <c r="Q27" s="2" t="str">
        <f t="shared" si="1"/>
        <v/>
      </c>
      <c r="R27" s="156">
        <f t="shared" si="4"/>
        <v>45391</v>
      </c>
    </row>
    <row r="28" spans="1:18" x14ac:dyDescent="0.3">
      <c r="A28" t="str">
        <f t="shared" si="2"/>
        <v>BPU08</v>
      </c>
      <c r="B28" t="str">
        <f>H28&amp;" "&amp;COUNTIFS($H$3:H28,H28)</f>
        <v>BPU08 4</v>
      </c>
      <c r="C28" s="34">
        <v>45391</v>
      </c>
      <c r="D28" s="32" t="s">
        <v>645</v>
      </c>
      <c r="E28" s="32" t="s">
        <v>650</v>
      </c>
      <c r="F28" s="32" t="s">
        <v>661</v>
      </c>
      <c r="G28" s="32" t="s">
        <v>687</v>
      </c>
      <c r="H28" s="32" t="s">
        <v>13</v>
      </c>
      <c r="I28" s="105">
        <f t="shared" si="3"/>
        <v>2</v>
      </c>
      <c r="J28" s="45" t="s">
        <v>682</v>
      </c>
      <c r="K28" s="45">
        <v>200000</v>
      </c>
      <c r="L28" s="33">
        <v>400000</v>
      </c>
      <c r="M28" s="32" t="s">
        <v>683</v>
      </c>
      <c r="N28" s="47"/>
      <c r="O28" s="88"/>
      <c r="P28" s="2" t="str">
        <f t="shared" si="0"/>
        <v/>
      </c>
      <c r="Q28" s="2" t="str">
        <f t="shared" si="1"/>
        <v/>
      </c>
      <c r="R28" s="156">
        <f t="shared" si="4"/>
        <v>45391</v>
      </c>
    </row>
    <row r="29" spans="1:18" x14ac:dyDescent="0.3">
      <c r="A29" t="str">
        <f t="shared" si="2"/>
        <v>BPU09</v>
      </c>
      <c r="B29" t="str">
        <f>H29&amp;" "&amp;COUNTIFS($H$3:H29,H29)</f>
        <v>BPU09 1</v>
      </c>
      <c r="C29" s="34">
        <v>45392</v>
      </c>
      <c r="D29" s="32" t="s">
        <v>646</v>
      </c>
      <c r="E29" s="32" t="s">
        <v>651</v>
      </c>
      <c r="F29" s="32" t="s">
        <v>662</v>
      </c>
      <c r="G29" s="32" t="s">
        <v>689</v>
      </c>
      <c r="H29" s="32" t="s">
        <v>62</v>
      </c>
      <c r="I29" s="105">
        <f t="shared" si="3"/>
        <v>2</v>
      </c>
      <c r="J29" s="45" t="s">
        <v>682</v>
      </c>
      <c r="K29" s="45">
        <v>100000</v>
      </c>
      <c r="L29" s="33">
        <v>200000</v>
      </c>
      <c r="M29" s="32" t="s">
        <v>683</v>
      </c>
      <c r="N29" s="47"/>
      <c r="O29" s="88"/>
      <c r="P29" s="2" t="str">
        <f t="shared" si="0"/>
        <v/>
      </c>
      <c r="Q29" s="2" t="str">
        <f t="shared" si="1"/>
        <v/>
      </c>
      <c r="R29" s="156">
        <f t="shared" si="4"/>
        <v>45392</v>
      </c>
    </row>
    <row r="30" spans="1:18" x14ac:dyDescent="0.3">
      <c r="A30" t="str">
        <f t="shared" si="2"/>
        <v>BPU09</v>
      </c>
      <c r="B30" t="str">
        <f>H30&amp;" "&amp;COUNTIFS($H$3:H30,H30)</f>
        <v>BPU09 2</v>
      </c>
      <c r="C30" s="34">
        <v>45392</v>
      </c>
      <c r="D30" s="32" t="s">
        <v>646</v>
      </c>
      <c r="E30" s="32" t="s">
        <v>651</v>
      </c>
      <c r="F30" s="32" t="s">
        <v>662</v>
      </c>
      <c r="G30" s="32" t="s">
        <v>688</v>
      </c>
      <c r="H30" s="32" t="s">
        <v>62</v>
      </c>
      <c r="I30" s="105">
        <f t="shared" si="3"/>
        <v>4</v>
      </c>
      <c r="J30" s="45" t="s">
        <v>682</v>
      </c>
      <c r="K30" s="45">
        <v>100000</v>
      </c>
      <c r="L30" s="33">
        <v>400000</v>
      </c>
      <c r="M30" s="32" t="s">
        <v>683</v>
      </c>
      <c r="N30" s="47"/>
      <c r="O30" s="88"/>
      <c r="P30" s="2" t="str">
        <f t="shared" si="0"/>
        <v/>
      </c>
      <c r="Q30" s="2" t="str">
        <f t="shared" si="1"/>
        <v/>
      </c>
      <c r="R30" s="156">
        <f t="shared" si="4"/>
        <v>45392</v>
      </c>
    </row>
    <row r="31" spans="1:18" x14ac:dyDescent="0.3">
      <c r="A31" t="str">
        <f t="shared" si="2"/>
        <v>BPU10</v>
      </c>
      <c r="B31" t="str">
        <f>H31&amp;" "&amp;COUNTIFS($H$3:H31,H31)</f>
        <v>BPU10 1</v>
      </c>
      <c r="C31" s="34">
        <v>45392</v>
      </c>
      <c r="D31" s="32" t="s">
        <v>641</v>
      </c>
      <c r="E31" s="32" t="s">
        <v>652</v>
      </c>
      <c r="F31" s="32" t="s">
        <v>663</v>
      </c>
      <c r="G31" s="32" t="s">
        <v>690</v>
      </c>
      <c r="H31" s="32" t="s">
        <v>14</v>
      </c>
      <c r="I31" s="105">
        <f t="shared" si="3"/>
        <v>10</v>
      </c>
      <c r="J31" s="45" t="s">
        <v>597</v>
      </c>
      <c r="K31" s="45">
        <v>35000</v>
      </c>
      <c r="L31" s="33">
        <v>350000</v>
      </c>
      <c r="M31" s="32" t="s">
        <v>683</v>
      </c>
      <c r="N31" s="47"/>
      <c r="O31" s="88" t="s">
        <v>721</v>
      </c>
      <c r="P31" s="2" t="str">
        <f t="shared" si="0"/>
        <v>009000</v>
      </c>
      <c r="Q31" s="2" t="str">
        <f t="shared" si="1"/>
        <v>Jalan Ninja Nomor 1, Desa Konohagakure, Negara Api</v>
      </c>
      <c r="R31" s="156">
        <f t="shared" si="4"/>
        <v>45392</v>
      </c>
    </row>
    <row r="32" spans="1:18" x14ac:dyDescent="0.3">
      <c r="A32">
        <f t="shared" si="2"/>
        <v>0</v>
      </c>
      <c r="B32" t="str">
        <f>H32&amp;" "&amp;COUNTIFS($H$3:H32,H32)</f>
        <v xml:space="preserve"> 0</v>
      </c>
      <c r="C32" s="34">
        <v>45413</v>
      </c>
      <c r="D32" s="32"/>
      <c r="E32" s="32"/>
      <c r="F32" s="32" t="s">
        <v>664</v>
      </c>
      <c r="G32" s="32"/>
      <c r="H32" s="32"/>
      <c r="I32" s="105" t="str">
        <f t="shared" si="3"/>
        <v/>
      </c>
      <c r="J32" s="45"/>
      <c r="K32" s="45"/>
      <c r="L32" s="33">
        <v>0</v>
      </c>
      <c r="M32" s="32"/>
      <c r="N32" s="47"/>
      <c r="O32" s="88"/>
      <c r="P32" s="2" t="str">
        <f t="shared" si="0"/>
        <v/>
      </c>
      <c r="Q32" s="2" t="str">
        <f t="shared" si="1"/>
        <v/>
      </c>
      <c r="R32" s="156">
        <f t="shared" si="4"/>
        <v>45413</v>
      </c>
    </row>
    <row r="33" spans="1:18" x14ac:dyDescent="0.3">
      <c r="A33">
        <f t="shared" si="2"/>
        <v>0</v>
      </c>
      <c r="B33" t="str">
        <f>H33&amp;" "&amp;COUNTIFS($H$3:H33,H33)</f>
        <v xml:space="preserve"> 0</v>
      </c>
      <c r="C33" s="34">
        <v>45418</v>
      </c>
      <c r="D33" s="32"/>
      <c r="E33" s="32"/>
      <c r="F33" s="32" t="s">
        <v>654</v>
      </c>
      <c r="G33" s="32"/>
      <c r="H33" s="32"/>
      <c r="I33" s="105" t="str">
        <f t="shared" si="3"/>
        <v/>
      </c>
      <c r="J33" s="45"/>
      <c r="K33" s="45"/>
      <c r="L33" s="33">
        <v>0</v>
      </c>
      <c r="M33" s="32"/>
      <c r="N33" s="47"/>
      <c r="O33" s="88"/>
      <c r="P33" s="2" t="str">
        <f t="shared" si="0"/>
        <v/>
      </c>
      <c r="Q33" s="2" t="str">
        <f t="shared" si="1"/>
        <v/>
      </c>
      <c r="R33" s="156">
        <f t="shared" si="4"/>
        <v>45418</v>
      </c>
    </row>
    <row r="34" spans="1:18" x14ac:dyDescent="0.3">
      <c r="A34" t="str">
        <f t="shared" si="2"/>
        <v>BPU11</v>
      </c>
      <c r="B34" t="str">
        <f>H34&amp;" "&amp;COUNTIFS($H$3:H34,H34)</f>
        <v>BPU11 1</v>
      </c>
      <c r="C34" s="34">
        <v>45419</v>
      </c>
      <c r="D34" s="32" t="s">
        <v>573</v>
      </c>
      <c r="E34" s="32" t="s">
        <v>647</v>
      </c>
      <c r="F34" s="32" t="s">
        <v>718</v>
      </c>
      <c r="G34" s="32" t="str">
        <f>"Pembayaran gaji honorarium guru honor sekolah an. "&amp;F34&amp;" bulan Mei"</f>
        <v>Pembayaran gaji honorarium guru honor sekolah an. Tenten, S.Pd. bulan Mei</v>
      </c>
      <c r="H34" s="32" t="s">
        <v>15</v>
      </c>
      <c r="I34" s="105">
        <f t="shared" si="3"/>
        <v>1</v>
      </c>
      <c r="J34" s="45" t="s">
        <v>691</v>
      </c>
      <c r="K34" s="45">
        <v>1100000</v>
      </c>
      <c r="L34" s="33">
        <v>1100000</v>
      </c>
      <c r="M34" s="32" t="s">
        <v>683</v>
      </c>
      <c r="N34" s="47"/>
      <c r="O34" s="88"/>
      <c r="P34" s="2" t="str">
        <f t="shared" si="0"/>
        <v/>
      </c>
      <c r="Q34" s="2" t="str">
        <f t="shared" si="1"/>
        <v/>
      </c>
      <c r="R34" s="156">
        <f t="shared" si="4"/>
        <v>45419</v>
      </c>
    </row>
    <row r="35" spans="1:18" x14ac:dyDescent="0.3">
      <c r="A35" t="str">
        <f t="shared" si="2"/>
        <v>BPU12</v>
      </c>
      <c r="B35" t="str">
        <f>H35&amp;" "&amp;COUNTIFS($H$3:H35,H35)</f>
        <v>BPU12 1</v>
      </c>
      <c r="C35" s="34">
        <v>45419</v>
      </c>
      <c r="D35" s="32" t="s">
        <v>573</v>
      </c>
      <c r="E35" s="32" t="s">
        <v>647</v>
      </c>
      <c r="F35" s="32" t="s">
        <v>719</v>
      </c>
      <c r="G35" s="32" t="str">
        <f t="shared" ref="G35:G36" si="7">"Pembayaran gaji honorarium guru honor sekolah an. "&amp;F35&amp;" bulan Mei"</f>
        <v>Pembayaran gaji honorarium guru honor sekolah an. Sakura, S.Pd. bulan Mei</v>
      </c>
      <c r="H35" s="32" t="s">
        <v>63</v>
      </c>
      <c r="I35" s="105" t="str">
        <f t="shared" si="3"/>
        <v/>
      </c>
      <c r="J35" s="45"/>
      <c r="K35" s="45"/>
      <c r="L35" s="33">
        <v>1100000</v>
      </c>
      <c r="M35" s="32" t="s">
        <v>683</v>
      </c>
      <c r="N35" s="47"/>
      <c r="O35" s="88"/>
      <c r="P35" s="2" t="str">
        <f t="shared" si="0"/>
        <v/>
      </c>
      <c r="Q35" s="2" t="str">
        <f t="shared" si="1"/>
        <v/>
      </c>
      <c r="R35" s="156">
        <f t="shared" si="4"/>
        <v>45419</v>
      </c>
    </row>
    <row r="36" spans="1:18" ht="15" customHeight="1" x14ac:dyDescent="0.3">
      <c r="A36" t="str">
        <f t="shared" si="2"/>
        <v>BPU13</v>
      </c>
      <c r="B36" t="str">
        <f>H36&amp;" "&amp;COUNTIFS($H$3:H36,H36)</f>
        <v>BPU13 1</v>
      </c>
      <c r="C36" s="34">
        <v>45419</v>
      </c>
      <c r="D36" s="32" t="s">
        <v>573</v>
      </c>
      <c r="E36" s="32" t="s">
        <v>647</v>
      </c>
      <c r="F36" s="32" t="s">
        <v>720</v>
      </c>
      <c r="G36" s="32" t="str">
        <f t="shared" si="7"/>
        <v>Pembayaran gaji honorarium guru honor sekolah an. Kiba, S.Pd. bulan Mei</v>
      </c>
      <c r="H36" s="32" t="s">
        <v>64</v>
      </c>
      <c r="I36" s="105" t="str">
        <f t="shared" si="3"/>
        <v/>
      </c>
      <c r="J36" s="45"/>
      <c r="K36" s="45"/>
      <c r="L36" s="33">
        <v>1000000</v>
      </c>
      <c r="M36" s="32" t="s">
        <v>683</v>
      </c>
      <c r="N36" s="47"/>
      <c r="O36" s="88"/>
      <c r="P36" s="2" t="str">
        <f t="shared" si="0"/>
        <v/>
      </c>
      <c r="Q36" s="2" t="str">
        <f t="shared" si="1"/>
        <v/>
      </c>
      <c r="R36" s="156">
        <f t="shared" si="4"/>
        <v>45419</v>
      </c>
    </row>
    <row r="37" spans="1:18" ht="15" customHeight="1" x14ac:dyDescent="0.3">
      <c r="A37" t="str">
        <f t="shared" si="2"/>
        <v>BPU14</v>
      </c>
      <c r="B37" t="str">
        <f>H37&amp;" "&amp;COUNTIFS($H$3:H37,H37)</f>
        <v>BPU14 1</v>
      </c>
      <c r="C37" s="34">
        <v>45420</v>
      </c>
      <c r="D37" s="32" t="s">
        <v>643</v>
      </c>
      <c r="E37" s="32" t="s">
        <v>648</v>
      </c>
      <c r="F37" s="32" t="s">
        <v>655</v>
      </c>
      <c r="G37" s="32" t="s">
        <v>680</v>
      </c>
      <c r="H37" s="32" t="s">
        <v>16</v>
      </c>
      <c r="I37" s="105">
        <f t="shared" si="3"/>
        <v>2000</v>
      </c>
      <c r="J37" s="45" t="s">
        <v>676</v>
      </c>
      <c r="K37" s="45">
        <v>500</v>
      </c>
      <c r="L37" s="33">
        <v>1000000</v>
      </c>
      <c r="M37" s="32" t="s">
        <v>592</v>
      </c>
      <c r="N37" s="47"/>
      <c r="O37" s="88" t="s">
        <v>726</v>
      </c>
      <c r="P37" s="2" t="str">
        <f t="shared" si="0"/>
        <v>006000</v>
      </c>
      <c r="Q37" s="2" t="str">
        <f t="shared" si="1"/>
        <v>Jalan Ninja Nomor 2, Desa Konohagakure, Negara Api</v>
      </c>
      <c r="R37" s="156">
        <f t="shared" si="4"/>
        <v>45420</v>
      </c>
    </row>
    <row r="38" spans="1:18" ht="15" customHeight="1" x14ac:dyDescent="0.3">
      <c r="A38" t="str">
        <f t="shared" si="2"/>
        <v>BPU15</v>
      </c>
      <c r="B38" t="str">
        <f>H38&amp;" "&amp;COUNTIFS($H$3:H38,H38)</f>
        <v>BPU15 1</v>
      </c>
      <c r="C38" s="34">
        <v>45420</v>
      </c>
      <c r="D38" s="32" t="s">
        <v>642</v>
      </c>
      <c r="E38" s="32" t="s">
        <v>649</v>
      </c>
      <c r="F38" s="32" t="s">
        <v>665</v>
      </c>
      <c r="G38" s="32" t="s">
        <v>671</v>
      </c>
      <c r="H38" s="32" t="s">
        <v>17</v>
      </c>
      <c r="I38" s="105">
        <f t="shared" si="3"/>
        <v>20</v>
      </c>
      <c r="J38" s="45" t="s">
        <v>672</v>
      </c>
      <c r="K38" s="45">
        <v>25000</v>
      </c>
      <c r="L38" s="33">
        <v>500000</v>
      </c>
      <c r="M38" s="32" t="s">
        <v>592</v>
      </c>
      <c r="N38" s="47"/>
      <c r="O38" s="88" t="s">
        <v>723</v>
      </c>
      <c r="P38" s="2" t="str">
        <f t="shared" si="0"/>
        <v>005003</v>
      </c>
      <c r="Q38" s="2" t="str">
        <f t="shared" si="1"/>
        <v>Jalan Ninja Nomor 2, Desa Konohagakure, Negara Api</v>
      </c>
      <c r="R38" s="156">
        <f t="shared" si="4"/>
        <v>45420</v>
      </c>
    </row>
    <row r="39" spans="1:18" ht="15" customHeight="1" x14ac:dyDescent="0.3">
      <c r="A39" t="str">
        <f t="shared" si="2"/>
        <v>BPU16</v>
      </c>
      <c r="B39" t="str">
        <f>H39&amp;" "&amp;COUNTIFS($H$3:H39,H39)</f>
        <v>BPU16 1</v>
      </c>
      <c r="C39" s="34">
        <v>45420</v>
      </c>
      <c r="D39" s="32" t="s">
        <v>645</v>
      </c>
      <c r="E39" s="32" t="s">
        <v>650</v>
      </c>
      <c r="F39" s="32" t="s">
        <v>661</v>
      </c>
      <c r="G39" s="32" t="s">
        <v>692</v>
      </c>
      <c r="H39" s="32" t="s">
        <v>18</v>
      </c>
      <c r="I39" s="105">
        <f t="shared" si="3"/>
        <v>1</v>
      </c>
      <c r="J39" s="45" t="s">
        <v>682</v>
      </c>
      <c r="K39" s="45">
        <v>200000</v>
      </c>
      <c r="L39" s="33">
        <v>200000</v>
      </c>
      <c r="M39" s="32" t="s">
        <v>683</v>
      </c>
      <c r="N39" s="47"/>
      <c r="O39" s="88"/>
      <c r="P39" s="2" t="str">
        <f t="shared" si="0"/>
        <v/>
      </c>
      <c r="Q39" s="2" t="str">
        <f t="shared" si="1"/>
        <v/>
      </c>
      <c r="R39" s="156">
        <f t="shared" si="4"/>
        <v>45420</v>
      </c>
    </row>
    <row r="40" spans="1:18" ht="15" customHeight="1" x14ac:dyDescent="0.3">
      <c r="A40" t="str">
        <f t="shared" si="2"/>
        <v>BPU17</v>
      </c>
      <c r="B40" t="str">
        <f>H40&amp;" "&amp;COUNTIFS($H$3:H40,H40)</f>
        <v>BPU17 1</v>
      </c>
      <c r="C40" s="34">
        <v>45442</v>
      </c>
      <c r="D40" s="32" t="s">
        <v>645</v>
      </c>
      <c r="E40" s="32" t="s">
        <v>650</v>
      </c>
      <c r="F40" s="32" t="s">
        <v>661</v>
      </c>
      <c r="G40" s="32" t="s">
        <v>698</v>
      </c>
      <c r="H40" s="32" t="s">
        <v>19</v>
      </c>
      <c r="I40" s="105">
        <f t="shared" si="3"/>
        <v>1</v>
      </c>
      <c r="J40" s="45" t="s">
        <v>682</v>
      </c>
      <c r="K40" s="45">
        <v>200000</v>
      </c>
      <c r="L40" s="33">
        <v>200000</v>
      </c>
      <c r="M40" s="32" t="s">
        <v>683</v>
      </c>
      <c r="N40" s="47"/>
      <c r="O40" s="88"/>
      <c r="P40" s="2" t="str">
        <f t="shared" si="0"/>
        <v/>
      </c>
      <c r="Q40" s="2" t="str">
        <f t="shared" si="1"/>
        <v/>
      </c>
      <c r="R40" s="156">
        <f t="shared" si="4"/>
        <v>45442</v>
      </c>
    </row>
    <row r="41" spans="1:18" ht="15" customHeight="1" x14ac:dyDescent="0.3">
      <c r="A41">
        <f t="shared" si="2"/>
        <v>0</v>
      </c>
      <c r="B41" t="str">
        <f>H41&amp;" "&amp;COUNTIFS($H$3:H41,H41)</f>
        <v xml:space="preserve"> 0</v>
      </c>
      <c r="C41" s="34">
        <v>45444</v>
      </c>
      <c r="D41" s="32"/>
      <c r="E41" s="32"/>
      <c r="F41" s="32" t="s">
        <v>667</v>
      </c>
      <c r="G41" s="32"/>
      <c r="H41" s="32"/>
      <c r="I41" s="105" t="str">
        <f t="shared" si="3"/>
        <v/>
      </c>
      <c r="J41" s="45"/>
      <c r="K41" s="45"/>
      <c r="L41" s="33">
        <v>0</v>
      </c>
      <c r="M41" s="32"/>
      <c r="N41" s="47"/>
      <c r="O41" s="88"/>
      <c r="P41" s="2" t="str">
        <f t="shared" si="0"/>
        <v/>
      </c>
      <c r="Q41" s="2" t="str">
        <f t="shared" si="1"/>
        <v/>
      </c>
      <c r="R41" s="156">
        <f t="shared" si="4"/>
        <v>45444</v>
      </c>
    </row>
    <row r="42" spans="1:18" ht="15" customHeight="1" x14ac:dyDescent="0.3">
      <c r="A42" t="str">
        <f t="shared" si="2"/>
        <v>BPU18</v>
      </c>
      <c r="B42" t="str">
        <f>H42&amp;" "&amp;COUNTIFS($H$3:H42,H42)</f>
        <v>BPU18 1</v>
      </c>
      <c r="C42" s="34">
        <v>45446</v>
      </c>
      <c r="D42" s="32" t="s">
        <v>573</v>
      </c>
      <c r="E42" s="32" t="s">
        <v>647</v>
      </c>
      <c r="F42" s="32" t="s">
        <v>720</v>
      </c>
      <c r="G42" s="32" t="str">
        <f>"Pembayaran gaji honorarium guru honor sekolah an. "&amp;F42&amp;" bulan Juni"</f>
        <v>Pembayaran gaji honorarium guru honor sekolah an. Kiba, S.Pd. bulan Juni</v>
      </c>
      <c r="H42" s="32" t="s">
        <v>20</v>
      </c>
      <c r="I42" s="105">
        <f t="shared" si="3"/>
        <v>1</v>
      </c>
      <c r="J42" s="45" t="s">
        <v>691</v>
      </c>
      <c r="K42" s="45">
        <v>1000000</v>
      </c>
      <c r="L42" s="33">
        <v>1000000</v>
      </c>
      <c r="M42" s="32" t="s">
        <v>683</v>
      </c>
      <c r="N42" s="47"/>
      <c r="O42" s="88"/>
      <c r="P42" s="2" t="str">
        <f t="shared" si="0"/>
        <v/>
      </c>
      <c r="Q42" s="2" t="str">
        <f t="shared" si="1"/>
        <v/>
      </c>
      <c r="R42" s="156">
        <f t="shared" si="4"/>
        <v>45446</v>
      </c>
    </row>
    <row r="43" spans="1:18" x14ac:dyDescent="0.3">
      <c r="A43" t="str">
        <f t="shared" si="2"/>
        <v>BPU19</v>
      </c>
      <c r="B43" t="str">
        <f>H43&amp;" "&amp;COUNTIFS($H$3:H43,H43)</f>
        <v>BPU19 1</v>
      </c>
      <c r="C43" s="34">
        <v>45447</v>
      </c>
      <c r="D43" s="32" t="s">
        <v>666</v>
      </c>
      <c r="E43" s="32" t="s">
        <v>648</v>
      </c>
      <c r="F43" s="32" t="s">
        <v>668</v>
      </c>
      <c r="G43" s="32" t="s">
        <v>678</v>
      </c>
      <c r="H43" s="32" t="s">
        <v>21</v>
      </c>
      <c r="I43" s="105">
        <f t="shared" si="3"/>
        <v>3</v>
      </c>
      <c r="J43" s="45" t="s">
        <v>681</v>
      </c>
      <c r="K43" s="45">
        <v>43000</v>
      </c>
      <c r="L43" s="33">
        <v>129000</v>
      </c>
      <c r="M43" s="32" t="s">
        <v>592</v>
      </c>
      <c r="N43" s="47"/>
      <c r="O43" s="88" t="s">
        <v>729</v>
      </c>
      <c r="P43" s="2" t="str">
        <f t="shared" si="0"/>
        <v>002002</v>
      </c>
      <c r="Q43" s="2" t="str">
        <f t="shared" si="1"/>
        <v>Jalan Ninja Nomor 3, Desa Konohagakure, Negara Api</v>
      </c>
      <c r="R43" s="156">
        <f t="shared" si="4"/>
        <v>45447</v>
      </c>
    </row>
    <row r="44" spans="1:18" x14ac:dyDescent="0.3">
      <c r="A44" t="str">
        <f t="shared" si="2"/>
        <v>BPU20</v>
      </c>
      <c r="B44" t="str">
        <f>H44&amp;" "&amp;COUNTIFS($H$3:H44,H44)</f>
        <v>BPU20 1</v>
      </c>
      <c r="C44" s="34">
        <v>45448</v>
      </c>
      <c r="D44" s="32" t="s">
        <v>666</v>
      </c>
      <c r="E44" s="32" t="s">
        <v>652</v>
      </c>
      <c r="F44" s="32" t="s">
        <v>663</v>
      </c>
      <c r="G44" s="32" t="s">
        <v>693</v>
      </c>
      <c r="H44" s="32" t="s">
        <v>22</v>
      </c>
      <c r="I44" s="105">
        <f t="shared" si="3"/>
        <v>10</v>
      </c>
      <c r="J44" s="45" t="s">
        <v>597</v>
      </c>
      <c r="K44" s="45">
        <v>35000</v>
      </c>
      <c r="L44" s="33">
        <v>350000</v>
      </c>
      <c r="M44" s="32" t="s">
        <v>683</v>
      </c>
      <c r="N44" s="47"/>
      <c r="O44" s="88" t="s">
        <v>721</v>
      </c>
      <c r="P44" s="2" t="str">
        <f t="shared" si="0"/>
        <v>009000</v>
      </c>
      <c r="Q44" s="2" t="str">
        <f t="shared" si="1"/>
        <v>Jalan Ninja Nomor 1, Desa Konohagakure, Negara Api</v>
      </c>
      <c r="R44" s="156">
        <f t="shared" si="4"/>
        <v>45448</v>
      </c>
    </row>
    <row r="45" spans="1:18" ht="15" customHeight="1" x14ac:dyDescent="0.3">
      <c r="A45" t="str">
        <f t="shared" si="2"/>
        <v>BPU21</v>
      </c>
      <c r="B45" t="str">
        <f>H45&amp;" "&amp;COUNTIFS($H$3:H45,H45)</f>
        <v>BPU21 1</v>
      </c>
      <c r="C45" s="34">
        <v>45448</v>
      </c>
      <c r="D45" s="32" t="s">
        <v>642</v>
      </c>
      <c r="E45" s="32" t="s">
        <v>649</v>
      </c>
      <c r="F45" s="32" t="s">
        <v>669</v>
      </c>
      <c r="G45" s="32" t="s">
        <v>671</v>
      </c>
      <c r="H45" s="32" t="s">
        <v>23</v>
      </c>
      <c r="I45" s="105">
        <f t="shared" si="3"/>
        <v>6</v>
      </c>
      <c r="J45" s="45" t="s">
        <v>674</v>
      </c>
      <c r="K45" s="45">
        <v>35000</v>
      </c>
      <c r="L45" s="33">
        <v>210000</v>
      </c>
      <c r="M45" s="32" t="s">
        <v>592</v>
      </c>
      <c r="N45" s="47"/>
      <c r="O45" s="88" t="s">
        <v>723</v>
      </c>
      <c r="P45" s="2" t="str">
        <f t="shared" si="0"/>
        <v>005003</v>
      </c>
      <c r="Q45" s="2" t="str">
        <f t="shared" si="1"/>
        <v>Jalan Ninja Nomor 2, Desa Konohagakure, Negara Api</v>
      </c>
      <c r="R45" s="156">
        <f t="shared" si="4"/>
        <v>45448</v>
      </c>
    </row>
    <row r="46" spans="1:18" ht="15" customHeight="1" x14ac:dyDescent="0.3">
      <c r="A46" t="str">
        <f t="shared" si="2"/>
        <v>BPU22</v>
      </c>
      <c r="B46" t="str">
        <f>H46&amp;" "&amp;COUNTIFS($H$3:H46,H46)</f>
        <v>BPU22 1</v>
      </c>
      <c r="C46" s="34">
        <v>45448</v>
      </c>
      <c r="D46" s="32" t="s">
        <v>643</v>
      </c>
      <c r="E46" s="32" t="s">
        <v>648</v>
      </c>
      <c r="F46" s="32" t="s">
        <v>655</v>
      </c>
      <c r="G46" s="32" t="s">
        <v>679</v>
      </c>
      <c r="H46" s="32" t="s">
        <v>24</v>
      </c>
      <c r="I46" s="105">
        <f t="shared" si="3"/>
        <v>3000</v>
      </c>
      <c r="J46" s="45" t="s">
        <v>593</v>
      </c>
      <c r="K46" s="45">
        <v>500</v>
      </c>
      <c r="L46" s="33">
        <v>1500000</v>
      </c>
      <c r="M46" s="32" t="s">
        <v>592</v>
      </c>
      <c r="N46" s="47"/>
      <c r="O46" s="88" t="s">
        <v>726</v>
      </c>
      <c r="P46" s="2" t="str">
        <f t="shared" si="0"/>
        <v>006000</v>
      </c>
      <c r="Q46" s="2" t="str">
        <f t="shared" si="1"/>
        <v>Jalan Ninja Nomor 2, Desa Konohagakure, Negara Api</v>
      </c>
      <c r="R46" s="156">
        <f t="shared" si="4"/>
        <v>45448</v>
      </c>
    </row>
    <row r="47" spans="1:18" ht="15" customHeight="1" x14ac:dyDescent="0.3">
      <c r="A47">
        <f t="shared" si="2"/>
        <v>0</v>
      </c>
      <c r="B47" t="str">
        <f>H47&amp;" "&amp;COUNTIFS($H$3:H47,H47)</f>
        <v xml:space="preserve"> 0</v>
      </c>
      <c r="C47" s="34"/>
      <c r="D47" s="32"/>
      <c r="E47" s="32"/>
      <c r="F47" s="32"/>
      <c r="G47" s="32"/>
      <c r="H47" s="32"/>
      <c r="I47" s="105" t="str">
        <f t="shared" si="3"/>
        <v/>
      </c>
      <c r="J47" s="45"/>
      <c r="K47" s="45"/>
      <c r="L47" s="33"/>
      <c r="M47" s="32"/>
      <c r="N47" s="47"/>
      <c r="O47" s="88"/>
      <c r="P47" s="2" t="str">
        <f t="shared" si="0"/>
        <v/>
      </c>
      <c r="Q47" s="2" t="str">
        <f t="shared" si="1"/>
        <v/>
      </c>
      <c r="R47" s="156" t="str">
        <f t="shared" si="4"/>
        <v/>
      </c>
    </row>
    <row r="48" spans="1:18" ht="15" customHeight="1" x14ac:dyDescent="0.3">
      <c r="A48">
        <f t="shared" si="2"/>
        <v>0</v>
      </c>
      <c r="B48" t="str">
        <f>H48&amp;" "&amp;COUNTIFS($H$3:H48,H48)</f>
        <v xml:space="preserve"> 0</v>
      </c>
      <c r="C48" s="34"/>
      <c r="D48" s="32"/>
      <c r="E48" s="32"/>
      <c r="F48" s="32"/>
      <c r="G48" s="32"/>
      <c r="H48" s="32"/>
      <c r="I48" s="105" t="str">
        <f t="shared" si="3"/>
        <v/>
      </c>
      <c r="J48" s="45"/>
      <c r="K48" s="45"/>
      <c r="L48" s="33"/>
      <c r="M48" s="32"/>
      <c r="N48" s="47"/>
      <c r="O48" s="88"/>
      <c r="P48" s="2" t="str">
        <f t="shared" si="0"/>
        <v/>
      </c>
      <c r="Q48" s="2" t="str">
        <f t="shared" si="1"/>
        <v/>
      </c>
      <c r="R48" s="156" t="str">
        <f t="shared" si="4"/>
        <v/>
      </c>
    </row>
    <row r="49" spans="1:18" x14ac:dyDescent="0.3">
      <c r="A49">
        <f t="shared" si="2"/>
        <v>0</v>
      </c>
      <c r="B49" t="str">
        <f>H49&amp;" "&amp;COUNTIFS($H$3:H49,H49)</f>
        <v xml:space="preserve"> 0</v>
      </c>
      <c r="C49" s="34"/>
      <c r="D49" s="32"/>
      <c r="E49" s="32"/>
      <c r="F49" s="32"/>
      <c r="G49" s="32"/>
      <c r="H49" s="32"/>
      <c r="I49" s="105" t="str">
        <f t="shared" si="3"/>
        <v/>
      </c>
      <c r="J49" s="45"/>
      <c r="K49" s="45"/>
      <c r="L49" s="33"/>
      <c r="M49" s="32"/>
      <c r="N49" s="47"/>
      <c r="O49" s="88"/>
      <c r="P49" s="2" t="str">
        <f t="shared" si="0"/>
        <v/>
      </c>
      <c r="Q49" s="2" t="str">
        <f t="shared" si="1"/>
        <v/>
      </c>
      <c r="R49" s="156" t="str">
        <f t="shared" si="4"/>
        <v/>
      </c>
    </row>
    <row r="50" spans="1:18" x14ac:dyDescent="0.3">
      <c r="A50">
        <f t="shared" si="2"/>
        <v>0</v>
      </c>
      <c r="B50" t="str">
        <f>H50&amp;" "&amp;COUNTIFS($H$3:H50,H50)</f>
        <v xml:space="preserve"> 0</v>
      </c>
      <c r="C50" s="34"/>
      <c r="D50" s="32"/>
      <c r="E50" s="32"/>
      <c r="F50" s="32"/>
      <c r="G50" s="32"/>
      <c r="H50" s="32"/>
      <c r="I50" s="105" t="str">
        <f t="shared" si="3"/>
        <v/>
      </c>
      <c r="J50" s="45"/>
      <c r="K50" s="45"/>
      <c r="L50" s="33"/>
      <c r="M50" s="32"/>
      <c r="N50" s="47"/>
      <c r="O50" s="88"/>
      <c r="P50" s="2" t="str">
        <f t="shared" si="0"/>
        <v/>
      </c>
      <c r="Q50" s="2" t="str">
        <f t="shared" si="1"/>
        <v/>
      </c>
      <c r="R50" s="156" t="str">
        <f t="shared" si="4"/>
        <v/>
      </c>
    </row>
    <row r="51" spans="1:18" x14ac:dyDescent="0.3">
      <c r="A51">
        <f t="shared" si="2"/>
        <v>0</v>
      </c>
      <c r="B51" t="str">
        <f>H51&amp;" "&amp;COUNTIFS($H$3:H51,H51)</f>
        <v xml:space="preserve"> 0</v>
      </c>
      <c r="C51" s="34"/>
      <c r="D51" s="32"/>
      <c r="E51" s="32"/>
      <c r="F51" s="32"/>
      <c r="G51" s="32"/>
      <c r="H51" s="32"/>
      <c r="I51" s="105" t="str">
        <f t="shared" si="3"/>
        <v/>
      </c>
      <c r="J51" s="45"/>
      <c r="K51" s="45"/>
      <c r="L51" s="33"/>
      <c r="M51" s="32"/>
      <c r="N51" s="47"/>
      <c r="O51" s="88"/>
      <c r="P51" s="2" t="str">
        <f t="shared" si="0"/>
        <v/>
      </c>
      <c r="Q51" s="2" t="str">
        <f t="shared" si="1"/>
        <v/>
      </c>
      <c r="R51" s="156" t="str">
        <f t="shared" si="4"/>
        <v/>
      </c>
    </row>
    <row r="52" spans="1:18" x14ac:dyDescent="0.3">
      <c r="A52">
        <f t="shared" si="2"/>
        <v>0</v>
      </c>
      <c r="B52" t="str">
        <f>H52&amp;" "&amp;COUNTIFS($H$3:H52,H52)</f>
        <v xml:space="preserve"> 0</v>
      </c>
      <c r="C52" s="34"/>
      <c r="D52" s="32"/>
      <c r="E52" s="32"/>
      <c r="F52" s="32"/>
      <c r="G52" s="32"/>
      <c r="H52" s="32"/>
      <c r="I52" s="105" t="str">
        <f t="shared" si="3"/>
        <v/>
      </c>
      <c r="J52" s="45"/>
      <c r="K52" s="45"/>
      <c r="L52" s="33"/>
      <c r="M52" s="32"/>
      <c r="N52" s="47"/>
      <c r="O52" s="88"/>
      <c r="P52" s="2" t="str">
        <f t="shared" si="0"/>
        <v/>
      </c>
      <c r="Q52" s="2" t="str">
        <f t="shared" si="1"/>
        <v/>
      </c>
      <c r="R52" s="156" t="str">
        <f t="shared" si="4"/>
        <v/>
      </c>
    </row>
    <row r="53" spans="1:18" x14ac:dyDescent="0.3">
      <c r="A53">
        <f t="shared" si="2"/>
        <v>0</v>
      </c>
      <c r="B53" t="str">
        <f>H53&amp;" "&amp;COUNTIFS($H$3:H53,H53)</f>
        <v xml:space="preserve"> 0</v>
      </c>
      <c r="C53" s="34"/>
      <c r="D53" s="32"/>
      <c r="E53" s="32"/>
      <c r="F53" s="32"/>
      <c r="G53" s="32"/>
      <c r="H53" s="32"/>
      <c r="I53" s="105" t="str">
        <f t="shared" si="3"/>
        <v/>
      </c>
      <c r="J53" s="45"/>
      <c r="K53" s="45"/>
      <c r="L53" s="33"/>
      <c r="M53" s="32"/>
      <c r="N53" s="47"/>
      <c r="O53" s="88"/>
      <c r="P53" s="2" t="str">
        <f t="shared" si="0"/>
        <v/>
      </c>
      <c r="Q53" s="2" t="str">
        <f t="shared" si="1"/>
        <v/>
      </c>
      <c r="R53" s="156" t="str">
        <f t="shared" si="4"/>
        <v/>
      </c>
    </row>
    <row r="54" spans="1:18" x14ac:dyDescent="0.3">
      <c r="A54">
        <f t="shared" si="2"/>
        <v>0</v>
      </c>
      <c r="B54" t="str">
        <f>H54&amp;" "&amp;COUNTIFS($H$3:H54,H54)</f>
        <v xml:space="preserve"> 0</v>
      </c>
      <c r="C54" s="34"/>
      <c r="D54" s="32"/>
      <c r="E54" s="32"/>
      <c r="F54" s="32"/>
      <c r="G54" s="32"/>
      <c r="H54" s="32"/>
      <c r="I54" s="105" t="str">
        <f t="shared" si="3"/>
        <v/>
      </c>
      <c r="J54" s="45"/>
      <c r="K54" s="45"/>
      <c r="L54" s="33"/>
      <c r="M54" s="32"/>
      <c r="N54" s="47"/>
      <c r="O54" s="88"/>
      <c r="P54" s="2" t="str">
        <f t="shared" si="0"/>
        <v/>
      </c>
      <c r="Q54" s="2" t="str">
        <f t="shared" si="1"/>
        <v/>
      </c>
      <c r="R54" s="156" t="str">
        <f t="shared" si="4"/>
        <v/>
      </c>
    </row>
    <row r="55" spans="1:18" x14ac:dyDescent="0.3">
      <c r="A55">
        <f t="shared" si="2"/>
        <v>0</v>
      </c>
      <c r="B55" t="str">
        <f>H55&amp;" "&amp;COUNTIFS($H$3:H55,H55)</f>
        <v xml:space="preserve"> 0</v>
      </c>
      <c r="C55" s="34"/>
      <c r="D55" s="32"/>
      <c r="E55" s="32"/>
      <c r="F55" s="32"/>
      <c r="G55" s="32"/>
      <c r="H55" s="32"/>
      <c r="I55" s="105" t="str">
        <f t="shared" si="3"/>
        <v/>
      </c>
      <c r="J55" s="45"/>
      <c r="K55" s="45"/>
      <c r="L55" s="33"/>
      <c r="M55" s="32"/>
      <c r="N55" s="47"/>
      <c r="O55" s="88"/>
      <c r="P55" s="2" t="str">
        <f t="shared" si="0"/>
        <v/>
      </c>
      <c r="Q55" s="2" t="str">
        <f t="shared" si="1"/>
        <v/>
      </c>
      <c r="R55" s="156" t="str">
        <f t="shared" si="4"/>
        <v/>
      </c>
    </row>
    <row r="56" spans="1:18" x14ac:dyDescent="0.3">
      <c r="A56">
        <f t="shared" si="2"/>
        <v>0</v>
      </c>
      <c r="B56" t="str">
        <f>H56&amp;" "&amp;COUNTIFS($H$3:H56,H56)</f>
        <v xml:space="preserve"> 0</v>
      </c>
      <c r="C56" s="34"/>
      <c r="D56" s="32"/>
      <c r="E56" s="32"/>
      <c r="F56" s="32"/>
      <c r="G56" s="32"/>
      <c r="H56" s="32"/>
      <c r="I56" s="105" t="str">
        <f t="shared" si="3"/>
        <v/>
      </c>
      <c r="J56" s="45"/>
      <c r="K56" s="45"/>
      <c r="L56" s="33"/>
      <c r="M56" s="32"/>
      <c r="N56" s="47"/>
      <c r="O56" s="88"/>
      <c r="P56" s="2" t="str">
        <f t="shared" si="0"/>
        <v/>
      </c>
      <c r="Q56" s="2" t="str">
        <f t="shared" si="1"/>
        <v/>
      </c>
      <c r="R56" s="156" t="str">
        <f t="shared" si="4"/>
        <v/>
      </c>
    </row>
    <row r="57" spans="1:18" x14ac:dyDescent="0.3">
      <c r="A57">
        <f t="shared" si="2"/>
        <v>0</v>
      </c>
      <c r="B57" t="str">
        <f>H57&amp;" "&amp;COUNTIFS($H$3:H57,H57)</f>
        <v xml:space="preserve"> 0</v>
      </c>
      <c r="C57" s="34"/>
      <c r="D57" s="32"/>
      <c r="E57" s="32"/>
      <c r="F57" s="32"/>
      <c r="G57" s="32"/>
      <c r="H57" s="32"/>
      <c r="I57" s="105" t="str">
        <f t="shared" si="3"/>
        <v/>
      </c>
      <c r="J57" s="45"/>
      <c r="K57" s="45"/>
      <c r="L57" s="33"/>
      <c r="M57" s="32"/>
      <c r="N57" s="47"/>
      <c r="O57" s="88"/>
      <c r="P57" s="2" t="str">
        <f t="shared" si="0"/>
        <v/>
      </c>
      <c r="Q57" s="2" t="str">
        <f t="shared" si="1"/>
        <v/>
      </c>
      <c r="R57" s="156" t="str">
        <f t="shared" si="4"/>
        <v/>
      </c>
    </row>
    <row r="58" spans="1:18" x14ac:dyDescent="0.3">
      <c r="A58">
        <f t="shared" si="2"/>
        <v>0</v>
      </c>
      <c r="B58" t="str">
        <f>H58&amp;" "&amp;COUNTIFS($H$3:H58,H58)</f>
        <v xml:space="preserve"> 0</v>
      </c>
      <c r="C58" s="34"/>
      <c r="D58" s="32"/>
      <c r="E58" s="32"/>
      <c r="F58" s="32"/>
      <c r="G58" s="32"/>
      <c r="H58" s="32"/>
      <c r="I58" s="105" t="str">
        <f t="shared" si="3"/>
        <v/>
      </c>
      <c r="J58" s="45"/>
      <c r="K58" s="45"/>
      <c r="L58" s="33"/>
      <c r="M58" s="32"/>
      <c r="N58" s="47"/>
      <c r="O58" s="88"/>
      <c r="P58" s="2" t="str">
        <f t="shared" si="0"/>
        <v/>
      </c>
      <c r="Q58" s="2" t="str">
        <f t="shared" si="1"/>
        <v/>
      </c>
      <c r="R58" s="156" t="str">
        <f t="shared" si="4"/>
        <v/>
      </c>
    </row>
    <row r="59" spans="1:18" x14ac:dyDescent="0.3">
      <c r="A59">
        <f t="shared" si="2"/>
        <v>0</v>
      </c>
      <c r="B59" t="str">
        <f>H59&amp;" "&amp;COUNTIFS($H$3:H59,H59)</f>
        <v xml:space="preserve"> 0</v>
      </c>
      <c r="C59" s="34"/>
      <c r="D59" s="32"/>
      <c r="E59" s="32"/>
      <c r="F59" s="32"/>
      <c r="G59" s="32"/>
      <c r="H59" s="32"/>
      <c r="I59" s="105" t="str">
        <f t="shared" si="3"/>
        <v/>
      </c>
      <c r="J59" s="45"/>
      <c r="K59" s="45"/>
      <c r="L59" s="33"/>
      <c r="M59" s="32"/>
      <c r="N59" s="47"/>
      <c r="O59" s="88"/>
      <c r="P59" s="2" t="str">
        <f t="shared" si="0"/>
        <v/>
      </c>
      <c r="Q59" s="2" t="str">
        <f t="shared" si="1"/>
        <v/>
      </c>
      <c r="R59" s="156" t="str">
        <f t="shared" si="4"/>
        <v/>
      </c>
    </row>
    <row r="60" spans="1:18" x14ac:dyDescent="0.3">
      <c r="A60">
        <f t="shared" si="2"/>
        <v>0</v>
      </c>
      <c r="B60" t="str">
        <f>H60&amp;" "&amp;COUNTIFS($H$3:H60,H60)</f>
        <v xml:space="preserve"> 0</v>
      </c>
      <c r="C60" s="34"/>
      <c r="D60" s="32"/>
      <c r="E60" s="32"/>
      <c r="F60" s="32"/>
      <c r="G60" s="32"/>
      <c r="H60" s="32"/>
      <c r="I60" s="105" t="str">
        <f t="shared" si="3"/>
        <v/>
      </c>
      <c r="J60" s="45"/>
      <c r="K60" s="45"/>
      <c r="L60" s="33"/>
      <c r="M60" s="32"/>
      <c r="N60" s="47"/>
      <c r="O60" s="88"/>
      <c r="P60" s="2" t="str">
        <f t="shared" si="0"/>
        <v/>
      </c>
      <c r="Q60" s="2" t="str">
        <f t="shared" si="1"/>
        <v/>
      </c>
      <c r="R60" s="156" t="str">
        <f t="shared" si="4"/>
        <v/>
      </c>
    </row>
    <row r="61" spans="1:18" x14ac:dyDescent="0.3">
      <c r="A61">
        <f t="shared" si="2"/>
        <v>0</v>
      </c>
      <c r="B61" t="str">
        <f>H61&amp;" "&amp;COUNTIFS($H$3:H61,H61)</f>
        <v xml:space="preserve"> 0</v>
      </c>
      <c r="C61" s="34"/>
      <c r="D61" s="32"/>
      <c r="E61" s="32"/>
      <c r="F61" s="32"/>
      <c r="G61" s="32"/>
      <c r="H61" s="32"/>
      <c r="I61" s="105" t="str">
        <f t="shared" si="3"/>
        <v/>
      </c>
      <c r="J61" s="45"/>
      <c r="K61" s="45"/>
      <c r="L61" s="33"/>
      <c r="M61" s="32"/>
      <c r="N61" s="47"/>
      <c r="O61" s="88"/>
      <c r="P61" s="2" t="str">
        <f t="shared" si="0"/>
        <v/>
      </c>
      <c r="Q61" s="2" t="str">
        <f t="shared" si="1"/>
        <v/>
      </c>
      <c r="R61" s="156" t="str">
        <f t="shared" si="4"/>
        <v/>
      </c>
    </row>
    <row r="62" spans="1:18" x14ac:dyDescent="0.3">
      <c r="A62">
        <f t="shared" si="2"/>
        <v>0</v>
      </c>
      <c r="B62" t="str">
        <f>H62&amp;" "&amp;COUNTIFS($H$3:H62,H62)</f>
        <v xml:space="preserve"> 0</v>
      </c>
      <c r="C62" s="34"/>
      <c r="D62" s="32"/>
      <c r="E62" s="32"/>
      <c r="F62" s="32"/>
      <c r="G62" s="32"/>
      <c r="H62" s="32"/>
      <c r="I62" s="105" t="str">
        <f t="shared" si="3"/>
        <v/>
      </c>
      <c r="J62" s="45"/>
      <c r="K62" s="45"/>
      <c r="L62" s="33"/>
      <c r="M62" s="32"/>
      <c r="N62" s="47"/>
      <c r="O62" s="88"/>
      <c r="P62" s="2" t="str">
        <f t="shared" si="0"/>
        <v/>
      </c>
      <c r="Q62" s="2" t="str">
        <f t="shared" si="1"/>
        <v/>
      </c>
      <c r="R62" s="156" t="str">
        <f t="shared" si="4"/>
        <v/>
      </c>
    </row>
    <row r="63" spans="1:18" x14ac:dyDescent="0.3">
      <c r="A63">
        <f t="shared" si="2"/>
        <v>0</v>
      </c>
      <c r="B63" t="str">
        <f>H63&amp;" "&amp;COUNTIFS($H$3:H63,H63)</f>
        <v xml:space="preserve"> 0</v>
      </c>
      <c r="C63" s="34"/>
      <c r="D63" s="32"/>
      <c r="E63" s="32"/>
      <c r="F63" s="32"/>
      <c r="G63" s="32"/>
      <c r="H63" s="32"/>
      <c r="I63" s="105" t="str">
        <f t="shared" si="3"/>
        <v/>
      </c>
      <c r="J63" s="45"/>
      <c r="K63" s="45"/>
      <c r="L63" s="33"/>
      <c r="M63" s="32"/>
      <c r="N63" s="47"/>
      <c r="O63" s="88"/>
      <c r="P63" s="2" t="str">
        <f t="shared" si="0"/>
        <v/>
      </c>
      <c r="Q63" s="2" t="str">
        <f t="shared" si="1"/>
        <v/>
      </c>
      <c r="R63" s="156" t="str">
        <f t="shared" si="4"/>
        <v/>
      </c>
    </row>
    <row r="64" spans="1:18" x14ac:dyDescent="0.3">
      <c r="A64">
        <f t="shared" si="2"/>
        <v>0</v>
      </c>
      <c r="B64" t="str">
        <f>H64&amp;" "&amp;COUNTIFS($H$3:H64,H64)</f>
        <v xml:space="preserve"> 0</v>
      </c>
      <c r="C64" s="34"/>
      <c r="D64" s="32"/>
      <c r="E64" s="32"/>
      <c r="F64" s="32"/>
      <c r="G64" s="32"/>
      <c r="H64" s="32"/>
      <c r="I64" s="105" t="str">
        <f t="shared" si="3"/>
        <v/>
      </c>
      <c r="J64" s="45"/>
      <c r="K64" s="45"/>
      <c r="L64" s="33"/>
      <c r="M64" s="32"/>
      <c r="N64" s="47"/>
      <c r="O64" s="88"/>
      <c r="P64" s="2" t="str">
        <f t="shared" si="0"/>
        <v/>
      </c>
      <c r="Q64" s="2" t="str">
        <f t="shared" si="1"/>
        <v/>
      </c>
      <c r="R64" s="156" t="str">
        <f t="shared" si="4"/>
        <v/>
      </c>
    </row>
    <row r="65" spans="1:18" x14ac:dyDescent="0.3">
      <c r="A65">
        <f t="shared" si="2"/>
        <v>0</v>
      </c>
      <c r="B65" t="str">
        <f>H65&amp;" "&amp;COUNTIFS($H$3:H65,H65)</f>
        <v xml:space="preserve"> 0</v>
      </c>
      <c r="C65" s="34"/>
      <c r="D65" s="32"/>
      <c r="E65" s="32"/>
      <c r="F65" s="32"/>
      <c r="G65" s="32"/>
      <c r="H65" s="32"/>
      <c r="I65" s="105" t="str">
        <f t="shared" si="3"/>
        <v/>
      </c>
      <c r="J65" s="45"/>
      <c r="K65" s="45"/>
      <c r="L65" s="33"/>
      <c r="M65" s="32"/>
      <c r="N65" s="47"/>
      <c r="O65" s="88"/>
      <c r="P65" s="2" t="str">
        <f t="shared" si="0"/>
        <v/>
      </c>
      <c r="Q65" s="2" t="str">
        <f t="shared" si="1"/>
        <v/>
      </c>
      <c r="R65" s="156" t="str">
        <f t="shared" si="4"/>
        <v/>
      </c>
    </row>
    <row r="66" spans="1:18" x14ac:dyDescent="0.3">
      <c r="A66">
        <f t="shared" si="2"/>
        <v>0</v>
      </c>
      <c r="B66" t="str">
        <f>H66&amp;" "&amp;COUNTIFS($H$3:H66,H66)</f>
        <v xml:space="preserve"> 0</v>
      </c>
      <c r="C66" s="34"/>
      <c r="D66" s="32"/>
      <c r="E66" s="32"/>
      <c r="F66" s="32"/>
      <c r="G66" s="32"/>
      <c r="H66" s="32"/>
      <c r="I66" s="105" t="str">
        <f t="shared" si="3"/>
        <v/>
      </c>
      <c r="J66" s="45"/>
      <c r="K66" s="45"/>
      <c r="L66" s="33"/>
      <c r="M66" s="32"/>
      <c r="N66" s="47"/>
      <c r="O66" s="88"/>
      <c r="P66" s="2" t="str">
        <f t="shared" si="0"/>
        <v/>
      </c>
      <c r="Q66" s="2" t="str">
        <f t="shared" si="1"/>
        <v/>
      </c>
      <c r="R66" s="156" t="str">
        <f t="shared" si="4"/>
        <v/>
      </c>
    </row>
    <row r="67" spans="1:18" x14ac:dyDescent="0.3">
      <c r="A67">
        <f t="shared" si="2"/>
        <v>0</v>
      </c>
      <c r="B67" t="str">
        <f>H67&amp;" "&amp;COUNTIFS($H$3:H67,H67)</f>
        <v xml:space="preserve"> 0</v>
      </c>
      <c r="C67" s="34"/>
      <c r="D67" s="32"/>
      <c r="E67" s="32"/>
      <c r="F67" s="32"/>
      <c r="G67" s="32"/>
      <c r="H67" s="32"/>
      <c r="I67" s="105" t="str">
        <f t="shared" si="3"/>
        <v/>
      </c>
      <c r="J67" s="45"/>
      <c r="K67" s="45"/>
      <c r="L67" s="33"/>
      <c r="M67" s="32"/>
      <c r="N67" s="47"/>
      <c r="O67" s="88"/>
      <c r="P67" s="2" t="str">
        <f t="shared" ref="P67:P130" si="8">IFERROR(VLOOKUP(O67,DAFTAR_TOKO,2,FALSE),"")</f>
        <v/>
      </c>
      <c r="Q67" s="2" t="str">
        <f t="shared" ref="Q67:Q130" si="9">IFERROR(VLOOKUP(O67,DAFTAR_TOKO,3,FALSE),"")</f>
        <v/>
      </c>
      <c r="R67" s="156" t="str">
        <f t="shared" si="4"/>
        <v/>
      </c>
    </row>
    <row r="68" spans="1:18" x14ac:dyDescent="0.3">
      <c r="A68">
        <f t="shared" ref="A68:A131" si="10">H68</f>
        <v>0</v>
      </c>
      <c r="B68" t="str">
        <f>H68&amp;" "&amp;COUNTIFS($H$3:H68,H68)</f>
        <v xml:space="preserve"> 0</v>
      </c>
      <c r="C68" s="34"/>
      <c r="D68" s="32"/>
      <c r="E68" s="32"/>
      <c r="F68" s="32"/>
      <c r="G68" s="32"/>
      <c r="H68" s="32"/>
      <c r="I68" s="105" t="str">
        <f t="shared" ref="I68:I131" si="11">IF(K68="","",L68/K68)</f>
        <v/>
      </c>
      <c r="J68" s="45"/>
      <c r="K68" s="45"/>
      <c r="L68" s="33"/>
      <c r="M68" s="32"/>
      <c r="N68" s="47"/>
      <c r="O68" s="88"/>
      <c r="P68" s="2" t="str">
        <f t="shared" si="8"/>
        <v/>
      </c>
      <c r="Q68" s="2" t="str">
        <f t="shared" si="9"/>
        <v/>
      </c>
      <c r="R68" s="156" t="str">
        <f t="shared" ref="R68:R131" si="12">IF(C68="","",C68)</f>
        <v/>
      </c>
    </row>
    <row r="69" spans="1:18" x14ac:dyDescent="0.3">
      <c r="A69">
        <f t="shared" si="10"/>
        <v>0</v>
      </c>
      <c r="B69" t="str">
        <f>H69&amp;" "&amp;COUNTIFS($H$3:H69,H69)</f>
        <v xml:space="preserve"> 0</v>
      </c>
      <c r="C69" s="34"/>
      <c r="D69" s="32"/>
      <c r="E69" s="32"/>
      <c r="F69" s="32"/>
      <c r="G69" s="32"/>
      <c r="H69" s="32"/>
      <c r="I69" s="105" t="str">
        <f t="shared" si="11"/>
        <v/>
      </c>
      <c r="J69" s="45"/>
      <c r="K69" s="45"/>
      <c r="L69" s="33"/>
      <c r="M69" s="32"/>
      <c r="N69" s="47"/>
      <c r="O69" s="88"/>
      <c r="P69" s="2" t="str">
        <f t="shared" si="8"/>
        <v/>
      </c>
      <c r="Q69" s="2" t="str">
        <f t="shared" si="9"/>
        <v/>
      </c>
      <c r="R69" s="156" t="str">
        <f t="shared" si="12"/>
        <v/>
      </c>
    </row>
    <row r="70" spans="1:18" x14ac:dyDescent="0.3">
      <c r="A70">
        <f t="shared" si="10"/>
        <v>0</v>
      </c>
      <c r="B70" t="str">
        <f>H70&amp;" "&amp;COUNTIFS($H$3:H70,H70)</f>
        <v xml:space="preserve"> 0</v>
      </c>
      <c r="C70" s="34"/>
      <c r="D70" s="32"/>
      <c r="E70" s="32"/>
      <c r="F70" s="32"/>
      <c r="G70" s="32"/>
      <c r="H70" s="32"/>
      <c r="I70" s="105" t="str">
        <f t="shared" si="11"/>
        <v/>
      </c>
      <c r="J70" s="45"/>
      <c r="K70" s="45"/>
      <c r="L70" s="33"/>
      <c r="M70" s="32"/>
      <c r="N70" s="47"/>
      <c r="O70" s="88"/>
      <c r="P70" s="2" t="str">
        <f t="shared" si="8"/>
        <v/>
      </c>
      <c r="Q70" s="2" t="str">
        <f t="shared" si="9"/>
        <v/>
      </c>
      <c r="R70" s="156" t="str">
        <f t="shared" si="12"/>
        <v/>
      </c>
    </row>
    <row r="71" spans="1:18" x14ac:dyDescent="0.3">
      <c r="A71">
        <f t="shared" si="10"/>
        <v>0</v>
      </c>
      <c r="B71" t="str">
        <f>H71&amp;" "&amp;COUNTIFS($H$3:H71,H71)</f>
        <v xml:space="preserve"> 0</v>
      </c>
      <c r="C71" s="34"/>
      <c r="D71" s="32"/>
      <c r="E71" s="32"/>
      <c r="F71" s="32"/>
      <c r="G71" s="32"/>
      <c r="H71" s="32"/>
      <c r="I71" s="105" t="str">
        <f t="shared" si="11"/>
        <v/>
      </c>
      <c r="J71" s="45" t="s">
        <v>591</v>
      </c>
      <c r="K71" s="45"/>
      <c r="L71" s="33"/>
      <c r="M71" s="32"/>
      <c r="N71" s="47"/>
      <c r="O71" s="88"/>
      <c r="P71" s="2" t="str">
        <f t="shared" si="8"/>
        <v/>
      </c>
      <c r="Q71" s="2" t="str">
        <f t="shared" si="9"/>
        <v/>
      </c>
      <c r="R71" s="156" t="str">
        <f t="shared" si="12"/>
        <v/>
      </c>
    </row>
    <row r="72" spans="1:18" x14ac:dyDescent="0.3">
      <c r="A72">
        <f t="shared" si="10"/>
        <v>0</v>
      </c>
      <c r="B72" t="str">
        <f>H72&amp;" "&amp;COUNTIFS($H$3:H72,H72)</f>
        <v xml:space="preserve"> 0</v>
      </c>
      <c r="C72" s="34"/>
      <c r="D72" s="32"/>
      <c r="E72" s="32"/>
      <c r="F72" s="32"/>
      <c r="G72" s="32"/>
      <c r="H72" s="32"/>
      <c r="I72" s="105" t="str">
        <f t="shared" si="11"/>
        <v/>
      </c>
      <c r="J72" s="45" t="s">
        <v>591</v>
      </c>
      <c r="K72" s="45"/>
      <c r="L72" s="33"/>
      <c r="M72" s="32"/>
      <c r="N72" s="47"/>
      <c r="O72" s="88"/>
      <c r="P72" s="2" t="str">
        <f t="shared" si="8"/>
        <v/>
      </c>
      <c r="Q72" s="2" t="str">
        <f t="shared" si="9"/>
        <v/>
      </c>
      <c r="R72" s="156" t="str">
        <f t="shared" si="12"/>
        <v/>
      </c>
    </row>
    <row r="73" spans="1:18" x14ac:dyDescent="0.3">
      <c r="A73">
        <f t="shared" si="10"/>
        <v>0</v>
      </c>
      <c r="B73" t="str">
        <f>H73&amp;" "&amp;COUNTIFS($H$3:H73,H73)</f>
        <v xml:space="preserve"> 0</v>
      </c>
      <c r="C73" s="34"/>
      <c r="D73" s="32"/>
      <c r="E73" s="32"/>
      <c r="F73" s="32"/>
      <c r="G73" s="32"/>
      <c r="H73" s="32"/>
      <c r="I73" s="105" t="str">
        <f t="shared" si="11"/>
        <v/>
      </c>
      <c r="J73" s="45" t="s">
        <v>596</v>
      </c>
      <c r="K73" s="45"/>
      <c r="L73" s="33"/>
      <c r="M73" s="32"/>
      <c r="N73" s="47"/>
      <c r="O73" s="88"/>
      <c r="P73" s="2" t="str">
        <f t="shared" si="8"/>
        <v/>
      </c>
      <c r="Q73" s="2" t="str">
        <f t="shared" si="9"/>
        <v/>
      </c>
      <c r="R73" s="156" t="str">
        <f t="shared" si="12"/>
        <v/>
      </c>
    </row>
    <row r="74" spans="1:18" x14ac:dyDescent="0.3">
      <c r="A74">
        <f t="shared" si="10"/>
        <v>0</v>
      </c>
      <c r="B74" t="str">
        <f>H74&amp;" "&amp;COUNTIFS($H$3:H74,H74)</f>
        <v xml:space="preserve"> 0</v>
      </c>
      <c r="C74" s="34"/>
      <c r="D74" s="32"/>
      <c r="E74" s="32"/>
      <c r="F74" s="32"/>
      <c r="G74" s="32"/>
      <c r="H74" s="32"/>
      <c r="I74" s="105" t="str">
        <f t="shared" si="11"/>
        <v/>
      </c>
      <c r="J74" s="45" t="s">
        <v>596</v>
      </c>
      <c r="K74" s="45"/>
      <c r="L74" s="33"/>
      <c r="M74" s="32"/>
      <c r="N74" s="47"/>
      <c r="O74" s="88"/>
      <c r="P74" s="2" t="str">
        <f t="shared" si="8"/>
        <v/>
      </c>
      <c r="Q74" s="2" t="str">
        <f t="shared" si="9"/>
        <v/>
      </c>
      <c r="R74" s="156" t="str">
        <f t="shared" si="12"/>
        <v/>
      </c>
    </row>
    <row r="75" spans="1:18" x14ac:dyDescent="0.3">
      <c r="A75">
        <f t="shared" si="10"/>
        <v>0</v>
      </c>
      <c r="B75" t="str">
        <f>H75&amp;" "&amp;COUNTIFS($H$3:H75,H75)</f>
        <v xml:space="preserve"> 0</v>
      </c>
      <c r="C75" s="34"/>
      <c r="D75" s="32"/>
      <c r="E75" s="32"/>
      <c r="F75" s="32"/>
      <c r="G75" s="32"/>
      <c r="H75" s="32"/>
      <c r="I75" s="105" t="str">
        <f t="shared" si="11"/>
        <v/>
      </c>
      <c r="J75" s="45" t="s">
        <v>595</v>
      </c>
      <c r="K75" s="45"/>
      <c r="L75" s="33"/>
      <c r="M75" s="32"/>
      <c r="N75" s="47"/>
      <c r="O75" s="88"/>
      <c r="P75" s="2" t="str">
        <f t="shared" si="8"/>
        <v/>
      </c>
      <c r="Q75" s="2" t="str">
        <f t="shared" si="9"/>
        <v/>
      </c>
      <c r="R75" s="156" t="str">
        <f t="shared" si="12"/>
        <v/>
      </c>
    </row>
    <row r="76" spans="1:18" ht="15" customHeight="1" x14ac:dyDescent="0.3">
      <c r="A76">
        <f t="shared" si="10"/>
        <v>0</v>
      </c>
      <c r="B76" t="str">
        <f>H76&amp;" "&amp;COUNTIFS($H$3:H76,H76)</f>
        <v xml:space="preserve"> 0</v>
      </c>
      <c r="C76" s="34"/>
      <c r="D76" s="32"/>
      <c r="E76" s="32"/>
      <c r="F76" s="32"/>
      <c r="G76" s="32"/>
      <c r="H76" s="32"/>
      <c r="I76" s="105" t="str">
        <f t="shared" si="11"/>
        <v/>
      </c>
      <c r="J76" s="45" t="s">
        <v>596</v>
      </c>
      <c r="K76" s="45"/>
      <c r="L76" s="33"/>
      <c r="M76" s="32"/>
      <c r="N76" s="47"/>
      <c r="O76" s="88"/>
      <c r="P76" s="2" t="str">
        <f t="shared" si="8"/>
        <v/>
      </c>
      <c r="Q76" s="2" t="str">
        <f t="shared" si="9"/>
        <v/>
      </c>
      <c r="R76" s="156" t="str">
        <f t="shared" si="12"/>
        <v/>
      </c>
    </row>
    <row r="77" spans="1:18" ht="15" customHeight="1" x14ac:dyDescent="0.3">
      <c r="A77">
        <f t="shared" si="10"/>
        <v>0</v>
      </c>
      <c r="B77" t="str">
        <f>H77&amp;" "&amp;COUNTIFS($H$3:H77,H77)</f>
        <v xml:space="preserve"> 0</v>
      </c>
      <c r="C77" s="34"/>
      <c r="D77" s="32"/>
      <c r="E77" s="32"/>
      <c r="F77" s="32"/>
      <c r="G77" s="32"/>
      <c r="H77" s="32"/>
      <c r="I77" s="105" t="str">
        <f t="shared" si="11"/>
        <v/>
      </c>
      <c r="J77" s="45" t="s">
        <v>596</v>
      </c>
      <c r="K77" s="45"/>
      <c r="L77" s="33"/>
      <c r="M77" s="32"/>
      <c r="N77" s="47"/>
      <c r="O77" s="88"/>
      <c r="P77" s="2" t="str">
        <f t="shared" si="8"/>
        <v/>
      </c>
      <c r="Q77" s="2" t="str">
        <f t="shared" si="9"/>
        <v/>
      </c>
      <c r="R77" s="156" t="str">
        <f t="shared" si="12"/>
        <v/>
      </c>
    </row>
    <row r="78" spans="1:18" ht="15" customHeight="1" x14ac:dyDescent="0.3">
      <c r="A78">
        <f t="shared" si="10"/>
        <v>0</v>
      </c>
      <c r="B78" t="str">
        <f>H78&amp;" "&amp;COUNTIFS($H$3:H78,H78)</f>
        <v xml:space="preserve"> 0</v>
      </c>
      <c r="C78" s="34"/>
      <c r="D78" s="32"/>
      <c r="E78" s="32"/>
      <c r="F78" s="32"/>
      <c r="G78" s="32"/>
      <c r="H78" s="32"/>
      <c r="I78" s="105" t="str">
        <f t="shared" si="11"/>
        <v/>
      </c>
      <c r="J78" s="45" t="s">
        <v>596</v>
      </c>
      <c r="K78" s="45"/>
      <c r="L78" s="33"/>
      <c r="M78" s="32"/>
      <c r="N78" s="47"/>
      <c r="O78" s="88"/>
      <c r="P78" s="2" t="str">
        <f t="shared" si="8"/>
        <v/>
      </c>
      <c r="Q78" s="2" t="str">
        <f t="shared" si="9"/>
        <v/>
      </c>
      <c r="R78" s="156" t="str">
        <f t="shared" si="12"/>
        <v/>
      </c>
    </row>
    <row r="79" spans="1:18" ht="15" customHeight="1" x14ac:dyDescent="0.3">
      <c r="A79">
        <f t="shared" si="10"/>
        <v>0</v>
      </c>
      <c r="B79" t="str">
        <f>H79&amp;" "&amp;COUNTIFS($H$3:H79,H79)</f>
        <v xml:space="preserve"> 0</v>
      </c>
      <c r="C79" s="34"/>
      <c r="D79" s="32"/>
      <c r="E79" s="32"/>
      <c r="F79" s="32"/>
      <c r="G79" s="32"/>
      <c r="H79" s="32"/>
      <c r="I79" s="105" t="str">
        <f t="shared" si="11"/>
        <v/>
      </c>
      <c r="J79" s="45" t="s">
        <v>596</v>
      </c>
      <c r="K79" s="45"/>
      <c r="L79" s="33"/>
      <c r="M79" s="32"/>
      <c r="N79" s="47"/>
      <c r="O79" s="88"/>
      <c r="P79" s="2" t="str">
        <f t="shared" si="8"/>
        <v/>
      </c>
      <c r="Q79" s="2" t="str">
        <f t="shared" si="9"/>
        <v/>
      </c>
      <c r="R79" s="156" t="str">
        <f t="shared" si="12"/>
        <v/>
      </c>
    </row>
    <row r="80" spans="1:18" x14ac:dyDescent="0.3">
      <c r="A80">
        <f t="shared" si="10"/>
        <v>0</v>
      </c>
      <c r="B80" t="str">
        <f>H80&amp;" "&amp;COUNTIFS($H$3:H80,H80)</f>
        <v xml:space="preserve"> 0</v>
      </c>
      <c r="C80" s="34"/>
      <c r="D80" s="32"/>
      <c r="E80" s="32"/>
      <c r="F80" s="32"/>
      <c r="G80" s="32"/>
      <c r="H80" s="32"/>
      <c r="I80" s="105" t="str">
        <f t="shared" si="11"/>
        <v/>
      </c>
      <c r="J80" s="45" t="s">
        <v>597</v>
      </c>
      <c r="K80" s="45"/>
      <c r="L80" s="33"/>
      <c r="M80" s="32"/>
      <c r="N80" s="47"/>
      <c r="O80" s="88"/>
      <c r="P80" s="2" t="str">
        <f t="shared" si="8"/>
        <v/>
      </c>
      <c r="Q80" s="2" t="str">
        <f t="shared" si="9"/>
        <v/>
      </c>
      <c r="R80" s="156" t="str">
        <f t="shared" si="12"/>
        <v/>
      </c>
    </row>
    <row r="81" spans="1:18" x14ac:dyDescent="0.3">
      <c r="A81">
        <f t="shared" si="10"/>
        <v>0</v>
      </c>
      <c r="B81" t="str">
        <f>H81&amp;" "&amp;COUNTIFS($H$3:H81,H81)</f>
        <v xml:space="preserve"> 0</v>
      </c>
      <c r="C81" s="34"/>
      <c r="D81" s="32"/>
      <c r="E81" s="32"/>
      <c r="F81" s="32"/>
      <c r="G81" s="32"/>
      <c r="H81" s="32"/>
      <c r="I81" s="105" t="str">
        <f t="shared" si="11"/>
        <v/>
      </c>
      <c r="J81" s="45"/>
      <c r="K81" s="45"/>
      <c r="L81" s="33"/>
      <c r="M81" s="32"/>
      <c r="N81" s="47"/>
      <c r="O81" s="88"/>
      <c r="P81" s="2" t="str">
        <f t="shared" si="8"/>
        <v/>
      </c>
      <c r="Q81" s="2" t="str">
        <f t="shared" si="9"/>
        <v/>
      </c>
      <c r="R81" s="156" t="str">
        <f t="shared" si="12"/>
        <v/>
      </c>
    </row>
    <row r="82" spans="1:18" x14ac:dyDescent="0.3">
      <c r="A82">
        <f t="shared" si="10"/>
        <v>0</v>
      </c>
      <c r="B82" t="str">
        <f>H82&amp;" "&amp;COUNTIFS($H$3:H82,H82)</f>
        <v xml:space="preserve"> 0</v>
      </c>
      <c r="C82" s="34"/>
      <c r="D82" s="32"/>
      <c r="E82" s="32"/>
      <c r="F82" s="32"/>
      <c r="G82" s="32"/>
      <c r="H82" s="32"/>
      <c r="I82" s="105" t="str">
        <f t="shared" si="11"/>
        <v/>
      </c>
      <c r="J82" s="45" t="s">
        <v>591</v>
      </c>
      <c r="K82" s="45"/>
      <c r="L82" s="33"/>
      <c r="M82" s="32"/>
      <c r="N82" s="47"/>
      <c r="O82" s="88"/>
      <c r="P82" s="2" t="str">
        <f t="shared" si="8"/>
        <v/>
      </c>
      <c r="Q82" s="2" t="str">
        <f t="shared" si="9"/>
        <v/>
      </c>
      <c r="R82" s="156" t="str">
        <f t="shared" si="12"/>
        <v/>
      </c>
    </row>
    <row r="83" spans="1:18" x14ac:dyDescent="0.3">
      <c r="A83">
        <f t="shared" si="10"/>
        <v>0</v>
      </c>
      <c r="B83" t="str">
        <f>H83&amp;" "&amp;COUNTIFS($H$3:H83,H83)</f>
        <v xml:space="preserve"> 0</v>
      </c>
      <c r="C83" s="34"/>
      <c r="D83" s="32"/>
      <c r="E83" s="32"/>
      <c r="F83" s="32"/>
      <c r="G83" s="32"/>
      <c r="H83" s="32"/>
      <c r="I83" s="105" t="str">
        <f t="shared" si="11"/>
        <v/>
      </c>
      <c r="J83" s="45" t="s">
        <v>591</v>
      </c>
      <c r="K83" s="45"/>
      <c r="L83" s="33"/>
      <c r="M83" s="32"/>
      <c r="N83" s="47"/>
      <c r="O83" s="88"/>
      <c r="P83" s="2" t="str">
        <f t="shared" si="8"/>
        <v/>
      </c>
      <c r="Q83" s="2" t="str">
        <f t="shared" si="9"/>
        <v/>
      </c>
      <c r="R83" s="156" t="str">
        <f t="shared" si="12"/>
        <v/>
      </c>
    </row>
    <row r="84" spans="1:18" x14ac:dyDescent="0.3">
      <c r="A84">
        <f t="shared" si="10"/>
        <v>0</v>
      </c>
      <c r="B84" t="str">
        <f>H84&amp;" "&amp;COUNTIFS($H$3:H84,H84)</f>
        <v xml:space="preserve"> 0</v>
      </c>
      <c r="C84" s="34"/>
      <c r="D84" s="32"/>
      <c r="E84" s="32"/>
      <c r="F84" s="32"/>
      <c r="G84" s="32"/>
      <c r="H84" s="32"/>
      <c r="I84" s="105" t="str">
        <f t="shared" si="11"/>
        <v/>
      </c>
      <c r="J84" s="45" t="s">
        <v>591</v>
      </c>
      <c r="K84" s="45"/>
      <c r="L84" s="33"/>
      <c r="M84" s="32"/>
      <c r="N84" s="47"/>
      <c r="O84" s="88"/>
      <c r="P84" s="2" t="str">
        <f t="shared" si="8"/>
        <v/>
      </c>
      <c r="Q84" s="2" t="str">
        <f t="shared" si="9"/>
        <v/>
      </c>
      <c r="R84" s="156" t="str">
        <f t="shared" si="12"/>
        <v/>
      </c>
    </row>
    <row r="85" spans="1:18" x14ac:dyDescent="0.3">
      <c r="A85">
        <f t="shared" si="10"/>
        <v>0</v>
      </c>
      <c r="B85" t="str">
        <f>H85&amp;" "&amp;COUNTIFS($H$3:H85,H85)</f>
        <v xml:space="preserve"> 0</v>
      </c>
      <c r="C85" s="34"/>
      <c r="D85" s="32"/>
      <c r="E85" s="32"/>
      <c r="F85" s="32"/>
      <c r="G85" s="32"/>
      <c r="H85" s="32"/>
      <c r="I85" s="105" t="str">
        <f t="shared" si="11"/>
        <v/>
      </c>
      <c r="J85" s="45" t="s">
        <v>591</v>
      </c>
      <c r="K85" s="45"/>
      <c r="L85" s="33"/>
      <c r="M85" s="32"/>
      <c r="N85" s="47"/>
      <c r="O85" s="88"/>
      <c r="P85" s="2" t="str">
        <f t="shared" si="8"/>
        <v/>
      </c>
      <c r="Q85" s="2" t="str">
        <f t="shared" si="9"/>
        <v/>
      </c>
      <c r="R85" s="156" t="str">
        <f t="shared" si="12"/>
        <v/>
      </c>
    </row>
    <row r="86" spans="1:18" x14ac:dyDescent="0.3">
      <c r="A86">
        <f t="shared" si="10"/>
        <v>0</v>
      </c>
      <c r="B86" t="str">
        <f>H86&amp;" "&amp;COUNTIFS($H$3:H86,H86)</f>
        <v xml:space="preserve"> 0</v>
      </c>
      <c r="C86" s="34"/>
      <c r="D86" s="32"/>
      <c r="E86" s="32"/>
      <c r="F86" s="32"/>
      <c r="G86" s="32"/>
      <c r="H86" s="32"/>
      <c r="I86" s="105" t="str">
        <f t="shared" si="11"/>
        <v/>
      </c>
      <c r="J86" s="45" t="s">
        <v>596</v>
      </c>
      <c r="K86" s="45"/>
      <c r="L86" s="33"/>
      <c r="M86" s="32"/>
      <c r="N86" s="47"/>
      <c r="O86" s="88"/>
      <c r="P86" s="2" t="str">
        <f t="shared" si="8"/>
        <v/>
      </c>
      <c r="Q86" s="2" t="str">
        <f t="shared" si="9"/>
        <v/>
      </c>
      <c r="R86" s="156" t="str">
        <f t="shared" si="12"/>
        <v/>
      </c>
    </row>
    <row r="87" spans="1:18" x14ac:dyDescent="0.3">
      <c r="A87">
        <f t="shared" si="10"/>
        <v>0</v>
      </c>
      <c r="B87" t="str">
        <f>H87&amp;" "&amp;COUNTIFS($H$3:H87,H87)</f>
        <v xml:space="preserve"> 0</v>
      </c>
      <c r="C87" s="34"/>
      <c r="D87" s="32"/>
      <c r="E87" s="32"/>
      <c r="F87" s="32"/>
      <c r="G87" s="32"/>
      <c r="H87" s="32"/>
      <c r="I87" s="105" t="str">
        <f t="shared" si="11"/>
        <v/>
      </c>
      <c r="J87" s="45" t="s">
        <v>596</v>
      </c>
      <c r="K87" s="45"/>
      <c r="L87" s="33"/>
      <c r="M87" s="32"/>
      <c r="N87" s="47"/>
      <c r="O87" s="88"/>
      <c r="P87" s="2" t="str">
        <f t="shared" si="8"/>
        <v/>
      </c>
      <c r="Q87" s="2" t="str">
        <f t="shared" si="9"/>
        <v/>
      </c>
      <c r="R87" s="156" t="str">
        <f t="shared" si="12"/>
        <v/>
      </c>
    </row>
    <row r="88" spans="1:18" x14ac:dyDescent="0.3">
      <c r="A88">
        <f t="shared" si="10"/>
        <v>0</v>
      </c>
      <c r="B88" t="str">
        <f>H88&amp;" "&amp;COUNTIFS($H$3:H88,H88)</f>
        <v xml:space="preserve"> 0</v>
      </c>
      <c r="C88" s="34"/>
      <c r="D88" s="32"/>
      <c r="E88" s="32"/>
      <c r="F88" s="32"/>
      <c r="G88" s="32"/>
      <c r="H88" s="32"/>
      <c r="I88" s="105" t="str">
        <f t="shared" si="11"/>
        <v/>
      </c>
      <c r="J88" s="45" t="s">
        <v>595</v>
      </c>
      <c r="K88" s="45"/>
      <c r="L88" s="33"/>
      <c r="M88" s="32"/>
      <c r="N88" s="47"/>
      <c r="O88" s="88"/>
      <c r="P88" s="2" t="str">
        <f t="shared" si="8"/>
        <v/>
      </c>
      <c r="Q88" s="2" t="str">
        <f t="shared" si="9"/>
        <v/>
      </c>
      <c r="R88" s="156" t="str">
        <f t="shared" si="12"/>
        <v/>
      </c>
    </row>
    <row r="89" spans="1:18" x14ac:dyDescent="0.3">
      <c r="A89">
        <f t="shared" si="10"/>
        <v>0</v>
      </c>
      <c r="B89" t="str">
        <f>H89&amp;" "&amp;COUNTIFS($H$3:H89,H89)</f>
        <v xml:space="preserve"> 0</v>
      </c>
      <c r="C89" s="34"/>
      <c r="D89" s="32"/>
      <c r="E89" s="32"/>
      <c r="F89" s="32"/>
      <c r="G89" s="106"/>
      <c r="H89" s="32"/>
      <c r="I89" s="105" t="str">
        <f t="shared" si="11"/>
        <v/>
      </c>
      <c r="J89" s="45" t="s">
        <v>598</v>
      </c>
      <c r="K89" s="45"/>
      <c r="L89" s="33"/>
      <c r="M89" s="32"/>
      <c r="N89" s="47"/>
      <c r="O89" s="88"/>
      <c r="P89" s="2" t="str">
        <f t="shared" si="8"/>
        <v/>
      </c>
      <c r="Q89" s="2" t="str">
        <f t="shared" si="9"/>
        <v/>
      </c>
      <c r="R89" s="156" t="str">
        <f t="shared" si="12"/>
        <v/>
      </c>
    </row>
    <row r="90" spans="1:18" x14ac:dyDescent="0.3">
      <c r="A90">
        <f t="shared" si="10"/>
        <v>0</v>
      </c>
      <c r="B90" t="str">
        <f>H90&amp;" "&amp;COUNTIFS($H$3:H90,H90)</f>
        <v xml:space="preserve"> 0</v>
      </c>
      <c r="C90" s="34"/>
      <c r="D90" s="32"/>
      <c r="E90" s="32"/>
      <c r="F90" s="32"/>
      <c r="G90" s="106"/>
      <c r="H90" s="32"/>
      <c r="I90" s="105" t="str">
        <f t="shared" si="11"/>
        <v/>
      </c>
      <c r="J90" s="45" t="s">
        <v>599</v>
      </c>
      <c r="K90" s="45"/>
      <c r="L90" s="33"/>
      <c r="M90" s="32"/>
      <c r="N90" s="47"/>
      <c r="O90" s="88"/>
      <c r="P90" s="2" t="str">
        <f t="shared" si="8"/>
        <v/>
      </c>
      <c r="Q90" s="2" t="str">
        <f t="shared" si="9"/>
        <v/>
      </c>
      <c r="R90" s="156" t="str">
        <f t="shared" si="12"/>
        <v/>
      </c>
    </row>
    <row r="91" spans="1:18" x14ac:dyDescent="0.3">
      <c r="A91">
        <f t="shared" si="10"/>
        <v>0</v>
      </c>
      <c r="B91" t="str">
        <f>H91&amp;" "&amp;COUNTIFS($H$3:H91,H91)</f>
        <v xml:space="preserve"> 0</v>
      </c>
      <c r="C91" s="34"/>
      <c r="D91" s="32"/>
      <c r="E91" s="32"/>
      <c r="F91" s="32"/>
      <c r="G91" s="32"/>
      <c r="H91" s="32"/>
      <c r="I91" s="105" t="str">
        <f>IF(K91="","",L91/K91)</f>
        <v/>
      </c>
      <c r="J91" s="45" t="s">
        <v>595</v>
      </c>
      <c r="K91" s="45"/>
      <c r="L91" s="33"/>
      <c r="M91" s="32"/>
      <c r="N91" s="47"/>
      <c r="O91" s="88"/>
      <c r="P91" s="2" t="str">
        <f t="shared" si="8"/>
        <v/>
      </c>
      <c r="Q91" s="2" t="str">
        <f t="shared" si="9"/>
        <v/>
      </c>
      <c r="R91" s="156" t="str">
        <f t="shared" si="12"/>
        <v/>
      </c>
    </row>
    <row r="92" spans="1:18" x14ac:dyDescent="0.3">
      <c r="A92">
        <f t="shared" si="10"/>
        <v>0</v>
      </c>
      <c r="B92" t="str">
        <f>H92&amp;" "&amp;COUNTIFS($H$3:H92,H92)</f>
        <v xml:space="preserve"> 0</v>
      </c>
      <c r="C92" s="34"/>
      <c r="D92" s="32"/>
      <c r="E92" s="32"/>
      <c r="F92" s="32"/>
      <c r="G92" s="32"/>
      <c r="H92" s="32"/>
      <c r="I92" s="105" t="str">
        <f t="shared" si="11"/>
        <v/>
      </c>
      <c r="J92" s="45" t="s">
        <v>595</v>
      </c>
      <c r="K92" s="45"/>
      <c r="L92" s="33"/>
      <c r="M92" s="32"/>
      <c r="N92" s="47"/>
      <c r="O92" s="88"/>
      <c r="P92" s="2" t="str">
        <f t="shared" si="8"/>
        <v/>
      </c>
      <c r="Q92" s="2" t="str">
        <f t="shared" si="9"/>
        <v/>
      </c>
      <c r="R92" s="156" t="str">
        <f t="shared" si="12"/>
        <v/>
      </c>
    </row>
    <row r="93" spans="1:18" x14ac:dyDescent="0.3">
      <c r="A93">
        <f t="shared" si="10"/>
        <v>0</v>
      </c>
      <c r="B93" t="str">
        <f>H93&amp;" "&amp;COUNTIFS($H$3:H93,H93)</f>
        <v xml:space="preserve"> 0</v>
      </c>
      <c r="C93" s="34"/>
      <c r="D93" s="32"/>
      <c r="E93" s="32"/>
      <c r="F93" s="32"/>
      <c r="G93" s="32"/>
      <c r="H93" s="32"/>
      <c r="I93" s="105" t="str">
        <f t="shared" si="11"/>
        <v/>
      </c>
      <c r="J93" s="45" t="s">
        <v>593</v>
      </c>
      <c r="K93" s="45"/>
      <c r="L93" s="33"/>
      <c r="M93" s="32"/>
      <c r="N93" s="47"/>
      <c r="O93" s="88"/>
      <c r="P93" s="2" t="str">
        <f t="shared" si="8"/>
        <v/>
      </c>
      <c r="Q93" s="2" t="str">
        <f t="shared" si="9"/>
        <v/>
      </c>
      <c r="R93" s="156" t="str">
        <f t="shared" si="12"/>
        <v/>
      </c>
    </row>
    <row r="94" spans="1:18" x14ac:dyDescent="0.3">
      <c r="A94">
        <f t="shared" si="10"/>
        <v>0</v>
      </c>
      <c r="B94" t="str">
        <f>H94&amp;" "&amp;COUNTIFS($H$3:H94,H94)</f>
        <v xml:space="preserve"> 0</v>
      </c>
      <c r="C94" s="34"/>
      <c r="D94" s="32"/>
      <c r="E94" s="32"/>
      <c r="F94" s="32"/>
      <c r="G94" s="32"/>
      <c r="H94" s="32"/>
      <c r="I94" s="105" t="str">
        <f t="shared" si="11"/>
        <v/>
      </c>
      <c r="J94" s="45" t="s">
        <v>595</v>
      </c>
      <c r="K94" s="45"/>
      <c r="L94" s="33"/>
      <c r="M94" s="32"/>
      <c r="N94" s="47"/>
      <c r="O94" s="88"/>
      <c r="P94" s="2" t="str">
        <f t="shared" si="8"/>
        <v/>
      </c>
      <c r="Q94" s="2" t="str">
        <f t="shared" si="9"/>
        <v/>
      </c>
      <c r="R94" s="156" t="str">
        <f t="shared" si="12"/>
        <v/>
      </c>
    </row>
    <row r="95" spans="1:18" x14ac:dyDescent="0.3">
      <c r="A95">
        <f t="shared" si="10"/>
        <v>0</v>
      </c>
      <c r="B95" t="str">
        <f>H95&amp;" "&amp;COUNTIFS($H$3:H95,H95)</f>
        <v xml:space="preserve"> 0</v>
      </c>
      <c r="C95" s="34"/>
      <c r="D95" s="32"/>
      <c r="E95" s="32"/>
      <c r="F95" s="32"/>
      <c r="G95" s="32"/>
      <c r="H95" s="32"/>
      <c r="I95" s="105" t="str">
        <f t="shared" si="11"/>
        <v/>
      </c>
      <c r="J95" s="45" t="s">
        <v>595</v>
      </c>
      <c r="K95" s="45"/>
      <c r="L95" s="33"/>
      <c r="M95" s="32"/>
      <c r="N95" s="47"/>
      <c r="O95" s="88"/>
      <c r="P95" s="2" t="str">
        <f t="shared" si="8"/>
        <v/>
      </c>
      <c r="Q95" s="2" t="str">
        <f t="shared" si="9"/>
        <v/>
      </c>
      <c r="R95" s="156" t="str">
        <f t="shared" si="12"/>
        <v/>
      </c>
    </row>
    <row r="96" spans="1:18" x14ac:dyDescent="0.3">
      <c r="A96">
        <f t="shared" si="10"/>
        <v>0</v>
      </c>
      <c r="B96" t="str">
        <f>H96&amp;" "&amp;COUNTIFS($H$3:H96,H96)</f>
        <v xml:space="preserve"> 0</v>
      </c>
      <c r="C96" s="34"/>
      <c r="D96" s="32"/>
      <c r="E96" s="32"/>
      <c r="F96" s="32"/>
      <c r="G96" s="32"/>
      <c r="H96" s="32"/>
      <c r="I96" s="105" t="str">
        <f t="shared" si="11"/>
        <v/>
      </c>
      <c r="J96" s="45" t="s">
        <v>595</v>
      </c>
      <c r="K96" s="45"/>
      <c r="L96" s="33"/>
      <c r="M96" s="32"/>
      <c r="N96" s="47"/>
      <c r="O96" s="88"/>
      <c r="P96" s="2" t="str">
        <f t="shared" si="8"/>
        <v/>
      </c>
      <c r="Q96" s="2" t="str">
        <f t="shared" si="9"/>
        <v/>
      </c>
      <c r="R96" s="156" t="str">
        <f t="shared" si="12"/>
        <v/>
      </c>
    </row>
    <row r="97" spans="1:18" x14ac:dyDescent="0.3">
      <c r="A97">
        <f t="shared" si="10"/>
        <v>0</v>
      </c>
      <c r="B97" t="str">
        <f>H97&amp;" "&amp;COUNTIFS($H$3:H97,H97)</f>
        <v xml:space="preserve"> 0</v>
      </c>
      <c r="C97" s="34"/>
      <c r="D97" s="32"/>
      <c r="E97" s="32"/>
      <c r="F97" s="32"/>
      <c r="G97" s="32"/>
      <c r="H97" s="32"/>
      <c r="I97" s="105" t="str">
        <f t="shared" si="11"/>
        <v/>
      </c>
      <c r="J97" s="45" t="s">
        <v>591</v>
      </c>
      <c r="K97" s="45"/>
      <c r="L97" s="33"/>
      <c r="M97" s="32"/>
      <c r="N97" s="47"/>
      <c r="O97" s="88"/>
      <c r="P97" s="2" t="str">
        <f t="shared" si="8"/>
        <v/>
      </c>
      <c r="Q97" s="2" t="str">
        <f t="shared" si="9"/>
        <v/>
      </c>
      <c r="R97" s="156" t="str">
        <f t="shared" si="12"/>
        <v/>
      </c>
    </row>
    <row r="98" spans="1:18" x14ac:dyDescent="0.3">
      <c r="A98">
        <f t="shared" si="10"/>
        <v>0</v>
      </c>
      <c r="B98" t="str">
        <f>H98&amp;" "&amp;COUNTIFS($H$3:H98,H98)</f>
        <v xml:space="preserve"> 0</v>
      </c>
      <c r="C98" s="34"/>
      <c r="D98" s="32"/>
      <c r="E98" s="32"/>
      <c r="F98" s="32"/>
      <c r="G98" s="32"/>
      <c r="H98" s="32"/>
      <c r="I98" s="105" t="str">
        <f t="shared" si="11"/>
        <v/>
      </c>
      <c r="J98" s="45" t="s">
        <v>593</v>
      </c>
      <c r="K98" s="45"/>
      <c r="L98" s="33"/>
      <c r="M98" s="32"/>
      <c r="N98" s="47"/>
      <c r="O98" s="88"/>
      <c r="P98" s="2" t="str">
        <f t="shared" si="8"/>
        <v/>
      </c>
      <c r="Q98" s="2" t="str">
        <f t="shared" si="9"/>
        <v/>
      </c>
      <c r="R98" s="156" t="str">
        <f t="shared" si="12"/>
        <v/>
      </c>
    </row>
    <row r="99" spans="1:18" x14ac:dyDescent="0.3">
      <c r="A99">
        <f t="shared" si="10"/>
        <v>0</v>
      </c>
      <c r="B99" t="str">
        <f>H99&amp;" "&amp;COUNTIFS($H$3:H99,H99)</f>
        <v xml:space="preserve"> 0</v>
      </c>
      <c r="C99" s="34"/>
      <c r="D99" s="32"/>
      <c r="E99" s="32"/>
      <c r="F99" s="32"/>
      <c r="G99" s="32"/>
      <c r="H99" s="32"/>
      <c r="I99" s="105" t="str">
        <f t="shared" si="11"/>
        <v/>
      </c>
      <c r="J99" s="45" t="s">
        <v>591</v>
      </c>
      <c r="K99" s="45"/>
      <c r="L99" s="33"/>
      <c r="M99" s="32"/>
      <c r="N99" s="47"/>
      <c r="O99" s="88"/>
      <c r="P99" s="2" t="str">
        <f t="shared" si="8"/>
        <v/>
      </c>
      <c r="Q99" s="2" t="str">
        <f t="shared" si="9"/>
        <v/>
      </c>
      <c r="R99" s="156" t="str">
        <f t="shared" si="12"/>
        <v/>
      </c>
    </row>
    <row r="100" spans="1:18" x14ac:dyDescent="0.3">
      <c r="A100">
        <f t="shared" si="10"/>
        <v>0</v>
      </c>
      <c r="B100" t="str">
        <f>H100&amp;" "&amp;COUNTIFS($H$3:H100,H100)</f>
        <v xml:space="preserve"> 0</v>
      </c>
      <c r="C100" s="34"/>
      <c r="D100" s="32"/>
      <c r="E100" s="32"/>
      <c r="F100" s="32"/>
      <c r="G100" s="32"/>
      <c r="H100" s="32"/>
      <c r="I100" s="105" t="str">
        <f t="shared" si="11"/>
        <v/>
      </c>
      <c r="J100" s="45" t="s">
        <v>594</v>
      </c>
      <c r="K100" s="45"/>
      <c r="L100" s="33"/>
      <c r="M100" s="32"/>
      <c r="N100" s="47"/>
      <c r="O100" s="88"/>
      <c r="P100" s="2" t="str">
        <f t="shared" si="8"/>
        <v/>
      </c>
      <c r="Q100" s="2" t="str">
        <f t="shared" si="9"/>
        <v/>
      </c>
      <c r="R100" s="156" t="str">
        <f t="shared" si="12"/>
        <v/>
      </c>
    </row>
    <row r="101" spans="1:18" x14ac:dyDescent="0.3">
      <c r="A101">
        <f t="shared" si="10"/>
        <v>0</v>
      </c>
      <c r="B101" t="str">
        <f>H101&amp;" "&amp;COUNTIFS($H$3:H101,H101)</f>
        <v xml:space="preserve"> 0</v>
      </c>
      <c r="C101" s="34"/>
      <c r="D101" s="32"/>
      <c r="E101" s="32"/>
      <c r="F101" s="32"/>
      <c r="G101" s="32"/>
      <c r="H101" s="32"/>
      <c r="I101" s="105" t="str">
        <f t="shared" si="11"/>
        <v/>
      </c>
      <c r="J101" s="45" t="s">
        <v>591</v>
      </c>
      <c r="K101" s="45"/>
      <c r="L101" s="33"/>
      <c r="M101" s="32"/>
      <c r="N101" s="47"/>
      <c r="O101" s="88"/>
      <c r="P101" s="2" t="str">
        <f t="shared" si="8"/>
        <v/>
      </c>
      <c r="Q101" s="2" t="str">
        <f t="shared" si="9"/>
        <v/>
      </c>
      <c r="R101" s="156" t="str">
        <f t="shared" si="12"/>
        <v/>
      </c>
    </row>
    <row r="102" spans="1:18" x14ac:dyDescent="0.3">
      <c r="A102">
        <f t="shared" si="10"/>
        <v>0</v>
      </c>
      <c r="B102" t="str">
        <f>H102&amp;" "&amp;COUNTIFS($H$3:H102,H102)</f>
        <v xml:space="preserve"> 0</v>
      </c>
      <c r="C102" s="34"/>
      <c r="D102" s="32"/>
      <c r="E102" s="32"/>
      <c r="F102" s="32"/>
      <c r="G102" s="32"/>
      <c r="H102" s="32"/>
      <c r="I102" s="105" t="str">
        <f t="shared" si="11"/>
        <v/>
      </c>
      <c r="J102" s="45"/>
      <c r="K102" s="45"/>
      <c r="L102" s="33"/>
      <c r="M102" s="32"/>
      <c r="N102" s="47"/>
      <c r="O102" s="88"/>
      <c r="P102" s="2" t="str">
        <f t="shared" si="8"/>
        <v/>
      </c>
      <c r="Q102" s="2" t="str">
        <f t="shared" si="9"/>
        <v/>
      </c>
      <c r="R102" s="156" t="str">
        <f t="shared" si="12"/>
        <v/>
      </c>
    </row>
    <row r="103" spans="1:18" x14ac:dyDescent="0.3">
      <c r="A103">
        <f t="shared" si="10"/>
        <v>0</v>
      </c>
      <c r="B103" t="str">
        <f>H103&amp;" "&amp;COUNTIFS($H$3:H103,H103)</f>
        <v xml:space="preserve"> 0</v>
      </c>
      <c r="C103" s="34"/>
      <c r="D103" s="32"/>
      <c r="E103" s="32"/>
      <c r="F103" s="32"/>
      <c r="G103" s="32"/>
      <c r="H103" s="32"/>
      <c r="I103" s="105" t="str">
        <f t="shared" si="11"/>
        <v/>
      </c>
      <c r="J103" s="45"/>
      <c r="K103" s="45"/>
      <c r="L103" s="33"/>
      <c r="M103" s="32"/>
      <c r="N103" s="47"/>
      <c r="O103" s="88"/>
      <c r="P103" s="2" t="str">
        <f t="shared" si="8"/>
        <v/>
      </c>
      <c r="Q103" s="2" t="str">
        <f t="shared" si="9"/>
        <v/>
      </c>
      <c r="R103" s="156" t="str">
        <f t="shared" si="12"/>
        <v/>
      </c>
    </row>
    <row r="104" spans="1:18" x14ac:dyDescent="0.3">
      <c r="A104">
        <f t="shared" si="10"/>
        <v>0</v>
      </c>
      <c r="B104" t="str">
        <f>H104&amp;" "&amp;COUNTIFS($H$3:H104,H104)</f>
        <v xml:space="preserve"> 0</v>
      </c>
      <c r="C104" s="34"/>
      <c r="D104" s="32"/>
      <c r="E104" s="32"/>
      <c r="F104" s="32"/>
      <c r="G104" s="32"/>
      <c r="H104" s="32"/>
      <c r="I104" s="105" t="str">
        <f t="shared" si="11"/>
        <v/>
      </c>
      <c r="J104" s="45"/>
      <c r="K104" s="45"/>
      <c r="L104" s="33"/>
      <c r="M104" s="32"/>
      <c r="N104" s="47"/>
      <c r="O104" s="88"/>
      <c r="P104" s="2" t="str">
        <f t="shared" si="8"/>
        <v/>
      </c>
      <c r="Q104" s="2" t="str">
        <f t="shared" si="9"/>
        <v/>
      </c>
      <c r="R104" s="156" t="str">
        <f t="shared" si="12"/>
        <v/>
      </c>
    </row>
    <row r="105" spans="1:18" x14ac:dyDescent="0.3">
      <c r="A105">
        <f t="shared" si="10"/>
        <v>0</v>
      </c>
      <c r="B105" t="str">
        <f>H105&amp;" "&amp;COUNTIFS($H$3:H105,H105)</f>
        <v xml:space="preserve"> 0</v>
      </c>
      <c r="C105" s="34"/>
      <c r="D105" s="32"/>
      <c r="E105" s="32"/>
      <c r="F105" s="32"/>
      <c r="G105" s="32"/>
      <c r="H105" s="32"/>
      <c r="I105" s="105" t="str">
        <f t="shared" si="11"/>
        <v/>
      </c>
      <c r="J105" s="45"/>
      <c r="K105" s="45"/>
      <c r="L105" s="33"/>
      <c r="M105" s="32"/>
      <c r="N105" s="47"/>
      <c r="O105" s="88"/>
      <c r="P105" s="2" t="str">
        <f t="shared" si="8"/>
        <v/>
      </c>
      <c r="Q105" s="2" t="str">
        <f t="shared" si="9"/>
        <v/>
      </c>
      <c r="R105" s="156" t="str">
        <f t="shared" si="12"/>
        <v/>
      </c>
    </row>
    <row r="106" spans="1:18" x14ac:dyDescent="0.3">
      <c r="A106">
        <f t="shared" si="10"/>
        <v>0</v>
      </c>
      <c r="B106" t="str">
        <f>H106&amp;" "&amp;COUNTIFS($H$3:H106,H106)</f>
        <v xml:space="preserve"> 0</v>
      </c>
      <c r="C106" s="34"/>
      <c r="D106" s="32"/>
      <c r="E106" s="32"/>
      <c r="F106" s="32"/>
      <c r="G106" s="32"/>
      <c r="H106" s="32"/>
      <c r="I106" s="105" t="str">
        <f t="shared" si="11"/>
        <v/>
      </c>
      <c r="J106" s="45"/>
      <c r="K106" s="45"/>
      <c r="L106" s="33"/>
      <c r="M106" s="32"/>
      <c r="N106" s="47"/>
      <c r="O106" s="88"/>
      <c r="P106" s="2" t="str">
        <f t="shared" si="8"/>
        <v/>
      </c>
      <c r="Q106" s="2" t="str">
        <f t="shared" si="9"/>
        <v/>
      </c>
      <c r="R106" s="156" t="str">
        <f t="shared" si="12"/>
        <v/>
      </c>
    </row>
    <row r="107" spans="1:18" x14ac:dyDescent="0.3">
      <c r="A107">
        <f t="shared" si="10"/>
        <v>0</v>
      </c>
      <c r="B107" t="str">
        <f>H107&amp;" "&amp;COUNTIFS($H$3:H107,H107)</f>
        <v xml:space="preserve"> 0</v>
      </c>
      <c r="C107" s="34"/>
      <c r="D107" s="32"/>
      <c r="E107" s="32"/>
      <c r="F107" s="32"/>
      <c r="G107" s="32"/>
      <c r="H107" s="32"/>
      <c r="I107" s="105" t="str">
        <f t="shared" si="11"/>
        <v/>
      </c>
      <c r="J107" s="45"/>
      <c r="K107" s="45"/>
      <c r="L107" s="33"/>
      <c r="M107" s="32"/>
      <c r="N107" s="47"/>
      <c r="O107" s="88"/>
      <c r="P107" s="2" t="str">
        <f t="shared" si="8"/>
        <v/>
      </c>
      <c r="Q107" s="2" t="str">
        <f t="shared" si="9"/>
        <v/>
      </c>
      <c r="R107" s="156" t="str">
        <f t="shared" si="12"/>
        <v/>
      </c>
    </row>
    <row r="108" spans="1:18" x14ac:dyDescent="0.3">
      <c r="A108">
        <f t="shared" si="10"/>
        <v>0</v>
      </c>
      <c r="B108" t="str">
        <f>H108&amp;" "&amp;COUNTIFS($H$3:H108,H108)</f>
        <v xml:space="preserve"> 0</v>
      </c>
      <c r="C108" s="34"/>
      <c r="D108" s="32"/>
      <c r="E108" s="32"/>
      <c r="F108" s="32"/>
      <c r="G108" s="32"/>
      <c r="H108" s="32"/>
      <c r="I108" s="105" t="str">
        <f t="shared" si="11"/>
        <v/>
      </c>
      <c r="J108" s="45"/>
      <c r="K108" s="45"/>
      <c r="L108" s="33"/>
      <c r="M108" s="32"/>
      <c r="N108" s="47"/>
      <c r="O108" s="88"/>
      <c r="P108" s="2" t="str">
        <f t="shared" si="8"/>
        <v/>
      </c>
      <c r="Q108" s="2" t="str">
        <f t="shared" si="9"/>
        <v/>
      </c>
      <c r="R108" s="156" t="str">
        <f t="shared" si="12"/>
        <v/>
      </c>
    </row>
    <row r="109" spans="1:18" x14ac:dyDescent="0.3">
      <c r="A109">
        <f t="shared" si="10"/>
        <v>0</v>
      </c>
      <c r="B109" t="str">
        <f>H109&amp;" "&amp;COUNTIFS($H$3:H109,H109)</f>
        <v xml:space="preserve"> 0</v>
      </c>
      <c r="C109" s="34"/>
      <c r="D109" s="32"/>
      <c r="E109" s="32"/>
      <c r="F109" s="32"/>
      <c r="G109" s="32"/>
      <c r="H109" s="32"/>
      <c r="I109" s="105" t="str">
        <f t="shared" si="11"/>
        <v/>
      </c>
      <c r="J109" s="45"/>
      <c r="K109" s="45"/>
      <c r="L109" s="33"/>
      <c r="M109" s="32"/>
      <c r="N109" s="47"/>
      <c r="O109" s="88"/>
      <c r="P109" s="2" t="str">
        <f t="shared" si="8"/>
        <v/>
      </c>
      <c r="Q109" s="2" t="str">
        <f t="shared" si="9"/>
        <v/>
      </c>
      <c r="R109" s="156" t="str">
        <f t="shared" si="12"/>
        <v/>
      </c>
    </row>
    <row r="110" spans="1:18" x14ac:dyDescent="0.3">
      <c r="A110">
        <f t="shared" si="10"/>
        <v>0</v>
      </c>
      <c r="B110" t="str">
        <f>H110&amp;" "&amp;COUNTIFS($H$3:H110,H110)</f>
        <v xml:space="preserve"> 0</v>
      </c>
      <c r="C110" s="34"/>
      <c r="D110" s="32"/>
      <c r="E110" s="32"/>
      <c r="F110" s="32"/>
      <c r="G110" s="32"/>
      <c r="H110" s="32"/>
      <c r="I110" s="105" t="str">
        <f t="shared" si="11"/>
        <v/>
      </c>
      <c r="J110" s="45"/>
      <c r="K110" s="45"/>
      <c r="L110" s="33"/>
      <c r="M110" s="32"/>
      <c r="N110" s="47"/>
      <c r="O110" s="88"/>
      <c r="P110" s="2" t="str">
        <f t="shared" si="8"/>
        <v/>
      </c>
      <c r="Q110" s="2" t="str">
        <f t="shared" si="9"/>
        <v/>
      </c>
      <c r="R110" s="156" t="str">
        <f t="shared" si="12"/>
        <v/>
      </c>
    </row>
    <row r="111" spans="1:18" x14ac:dyDescent="0.3">
      <c r="A111">
        <f t="shared" si="10"/>
        <v>0</v>
      </c>
      <c r="B111" t="str">
        <f>H111&amp;" "&amp;COUNTIFS($H$3:H111,H111)</f>
        <v xml:space="preserve"> 0</v>
      </c>
      <c r="C111" s="34"/>
      <c r="D111" s="32"/>
      <c r="E111" s="32"/>
      <c r="F111" s="32"/>
      <c r="G111" s="32"/>
      <c r="H111" s="32"/>
      <c r="I111" s="105" t="str">
        <f t="shared" si="11"/>
        <v/>
      </c>
      <c r="J111" s="45"/>
      <c r="K111" s="45"/>
      <c r="L111" s="33"/>
      <c r="M111" s="32"/>
      <c r="N111" s="47"/>
      <c r="O111" s="88"/>
      <c r="P111" s="2" t="str">
        <f t="shared" si="8"/>
        <v/>
      </c>
      <c r="Q111" s="2" t="str">
        <f t="shared" si="9"/>
        <v/>
      </c>
      <c r="R111" s="156" t="str">
        <f t="shared" si="12"/>
        <v/>
      </c>
    </row>
    <row r="112" spans="1:18" x14ac:dyDescent="0.3">
      <c r="A112">
        <f t="shared" si="10"/>
        <v>0</v>
      </c>
      <c r="B112" t="str">
        <f>H112&amp;" "&amp;COUNTIFS($H$3:H112,H112)</f>
        <v xml:space="preserve"> 0</v>
      </c>
      <c r="C112" s="34"/>
      <c r="D112" s="32"/>
      <c r="E112" s="32"/>
      <c r="F112" s="32"/>
      <c r="G112" s="32"/>
      <c r="H112" s="32"/>
      <c r="I112" s="105" t="str">
        <f t="shared" si="11"/>
        <v/>
      </c>
      <c r="J112" s="45"/>
      <c r="K112" s="45"/>
      <c r="L112" s="33"/>
      <c r="M112" s="32"/>
      <c r="N112" s="47"/>
      <c r="O112" s="88"/>
      <c r="P112" s="2" t="str">
        <f t="shared" si="8"/>
        <v/>
      </c>
      <c r="Q112" s="2" t="str">
        <f t="shared" si="9"/>
        <v/>
      </c>
      <c r="R112" s="156" t="str">
        <f t="shared" si="12"/>
        <v/>
      </c>
    </row>
    <row r="113" spans="1:18" x14ac:dyDescent="0.3">
      <c r="A113">
        <f t="shared" si="10"/>
        <v>0</v>
      </c>
      <c r="B113" t="str">
        <f>H113&amp;" "&amp;COUNTIFS($H$3:H113,H113)</f>
        <v xml:space="preserve"> 0</v>
      </c>
      <c r="C113" s="34"/>
      <c r="D113" s="32"/>
      <c r="E113" s="32"/>
      <c r="F113" s="32"/>
      <c r="G113" s="32"/>
      <c r="H113" s="32"/>
      <c r="I113" s="105" t="str">
        <f t="shared" si="11"/>
        <v/>
      </c>
      <c r="J113" s="45"/>
      <c r="K113" s="45"/>
      <c r="L113" s="33"/>
      <c r="M113" s="32"/>
      <c r="N113" s="47"/>
      <c r="O113" s="88"/>
      <c r="P113" s="2" t="str">
        <f t="shared" si="8"/>
        <v/>
      </c>
      <c r="Q113" s="2" t="str">
        <f t="shared" si="9"/>
        <v/>
      </c>
      <c r="R113" s="156" t="str">
        <f t="shared" si="12"/>
        <v/>
      </c>
    </row>
    <row r="114" spans="1:18" x14ac:dyDescent="0.3">
      <c r="A114">
        <f t="shared" si="10"/>
        <v>0</v>
      </c>
      <c r="B114" t="str">
        <f>H114&amp;" "&amp;COUNTIFS($H$3:H114,H114)</f>
        <v xml:space="preserve"> 0</v>
      </c>
      <c r="C114" s="34"/>
      <c r="D114" s="32"/>
      <c r="E114" s="32"/>
      <c r="F114" s="32"/>
      <c r="G114" s="32"/>
      <c r="H114" s="32"/>
      <c r="I114" s="105" t="str">
        <f t="shared" si="11"/>
        <v/>
      </c>
      <c r="J114" s="45"/>
      <c r="K114" s="45"/>
      <c r="L114" s="33"/>
      <c r="M114" s="32"/>
      <c r="N114" s="47"/>
      <c r="O114" s="88"/>
      <c r="P114" s="2" t="str">
        <f t="shared" si="8"/>
        <v/>
      </c>
      <c r="Q114" s="2" t="str">
        <f t="shared" si="9"/>
        <v/>
      </c>
      <c r="R114" s="156" t="str">
        <f t="shared" si="12"/>
        <v/>
      </c>
    </row>
    <row r="115" spans="1:18" x14ac:dyDescent="0.3">
      <c r="A115">
        <f t="shared" si="10"/>
        <v>0</v>
      </c>
      <c r="B115" t="str">
        <f>H115&amp;" "&amp;COUNTIFS($H$3:H115,H115)</f>
        <v xml:space="preserve"> 0</v>
      </c>
      <c r="C115" s="34"/>
      <c r="D115" s="32"/>
      <c r="E115" s="32"/>
      <c r="F115" s="32"/>
      <c r="G115" s="32"/>
      <c r="H115" s="32"/>
      <c r="I115" s="105" t="str">
        <f t="shared" si="11"/>
        <v/>
      </c>
      <c r="J115" s="45"/>
      <c r="K115" s="45"/>
      <c r="L115" s="33"/>
      <c r="M115" s="32"/>
      <c r="N115" s="47"/>
      <c r="O115" s="88"/>
      <c r="P115" s="2" t="str">
        <f t="shared" si="8"/>
        <v/>
      </c>
      <c r="Q115" s="2" t="str">
        <f t="shared" si="9"/>
        <v/>
      </c>
      <c r="R115" s="156" t="str">
        <f t="shared" si="12"/>
        <v/>
      </c>
    </row>
    <row r="116" spans="1:18" x14ac:dyDescent="0.3">
      <c r="A116">
        <f t="shared" si="10"/>
        <v>0</v>
      </c>
      <c r="B116" t="str">
        <f>H116&amp;" "&amp;COUNTIFS($H$3:H116,H116)</f>
        <v xml:space="preserve"> 0</v>
      </c>
      <c r="C116" s="34"/>
      <c r="D116" s="32"/>
      <c r="E116" s="32"/>
      <c r="F116" s="32"/>
      <c r="G116" s="32"/>
      <c r="H116" s="32"/>
      <c r="I116" s="105" t="str">
        <f t="shared" si="11"/>
        <v/>
      </c>
      <c r="J116" s="45"/>
      <c r="K116" s="45"/>
      <c r="L116" s="33"/>
      <c r="M116" s="32"/>
      <c r="N116" s="47"/>
      <c r="O116" s="88"/>
      <c r="P116" s="2" t="str">
        <f t="shared" si="8"/>
        <v/>
      </c>
      <c r="Q116" s="2" t="str">
        <f t="shared" si="9"/>
        <v/>
      </c>
      <c r="R116" s="156" t="str">
        <f t="shared" si="12"/>
        <v/>
      </c>
    </row>
    <row r="117" spans="1:18" x14ac:dyDescent="0.3">
      <c r="A117">
        <f t="shared" si="10"/>
        <v>0</v>
      </c>
      <c r="B117" t="str">
        <f>H117&amp;" "&amp;COUNTIFS($H$3:H117,H117)</f>
        <v xml:space="preserve"> 0</v>
      </c>
      <c r="C117" s="34"/>
      <c r="D117" s="32"/>
      <c r="E117" s="32"/>
      <c r="F117" s="32"/>
      <c r="G117" s="32"/>
      <c r="H117" s="32"/>
      <c r="I117" s="105" t="str">
        <f t="shared" si="11"/>
        <v/>
      </c>
      <c r="J117" s="45"/>
      <c r="K117" s="45"/>
      <c r="L117" s="33"/>
      <c r="M117" s="32"/>
      <c r="N117" s="47"/>
      <c r="O117" s="88"/>
      <c r="P117" s="2" t="str">
        <f t="shared" si="8"/>
        <v/>
      </c>
      <c r="Q117" s="2" t="str">
        <f t="shared" si="9"/>
        <v/>
      </c>
      <c r="R117" s="156" t="str">
        <f t="shared" si="12"/>
        <v/>
      </c>
    </row>
    <row r="118" spans="1:18" x14ac:dyDescent="0.3">
      <c r="A118">
        <f t="shared" si="10"/>
        <v>0</v>
      </c>
      <c r="B118" t="str">
        <f>H118&amp;" "&amp;COUNTIFS($H$3:H118,H118)</f>
        <v xml:space="preserve"> 0</v>
      </c>
      <c r="C118" s="34"/>
      <c r="D118" s="32"/>
      <c r="E118" s="32"/>
      <c r="F118" s="32"/>
      <c r="G118" s="32"/>
      <c r="H118" s="32"/>
      <c r="I118" s="105" t="str">
        <f t="shared" si="11"/>
        <v/>
      </c>
      <c r="J118" s="45"/>
      <c r="K118" s="45"/>
      <c r="L118" s="33"/>
      <c r="M118" s="32"/>
      <c r="N118" s="47"/>
      <c r="O118" s="88"/>
      <c r="P118" s="2" t="str">
        <f t="shared" si="8"/>
        <v/>
      </c>
      <c r="Q118" s="2" t="str">
        <f t="shared" si="9"/>
        <v/>
      </c>
      <c r="R118" s="156" t="str">
        <f t="shared" si="12"/>
        <v/>
      </c>
    </row>
    <row r="119" spans="1:18" x14ac:dyDescent="0.3">
      <c r="A119">
        <f t="shared" si="10"/>
        <v>0</v>
      </c>
      <c r="B119" t="str">
        <f>H119&amp;" "&amp;COUNTIFS($H$3:H119,H119)</f>
        <v xml:space="preserve"> 0</v>
      </c>
      <c r="C119" s="34"/>
      <c r="D119" s="32"/>
      <c r="E119" s="32"/>
      <c r="F119" s="32"/>
      <c r="G119" s="32"/>
      <c r="H119" s="32"/>
      <c r="I119" s="105" t="str">
        <f t="shared" si="11"/>
        <v/>
      </c>
      <c r="J119" s="45"/>
      <c r="K119" s="45"/>
      <c r="L119" s="33"/>
      <c r="M119" s="32"/>
      <c r="N119" s="47"/>
      <c r="O119" s="88"/>
      <c r="P119" s="2" t="str">
        <f t="shared" si="8"/>
        <v/>
      </c>
      <c r="Q119" s="2" t="str">
        <f t="shared" si="9"/>
        <v/>
      </c>
      <c r="R119" s="156" t="str">
        <f t="shared" si="12"/>
        <v/>
      </c>
    </row>
    <row r="120" spans="1:18" x14ac:dyDescent="0.3">
      <c r="A120">
        <f t="shared" si="10"/>
        <v>0</v>
      </c>
      <c r="B120" t="str">
        <f>H120&amp;" "&amp;COUNTIFS($H$3:H120,H120)</f>
        <v xml:space="preserve"> 0</v>
      </c>
      <c r="C120" s="34"/>
      <c r="D120" s="32"/>
      <c r="E120" s="32"/>
      <c r="F120" s="32"/>
      <c r="G120" s="32"/>
      <c r="H120" s="32"/>
      <c r="I120" s="105" t="str">
        <f t="shared" si="11"/>
        <v/>
      </c>
      <c r="J120" s="45"/>
      <c r="K120" s="45"/>
      <c r="L120" s="33"/>
      <c r="M120" s="32"/>
      <c r="N120" s="47"/>
      <c r="O120" s="88"/>
      <c r="P120" s="2" t="str">
        <f t="shared" si="8"/>
        <v/>
      </c>
      <c r="Q120" s="2" t="str">
        <f t="shared" si="9"/>
        <v/>
      </c>
      <c r="R120" s="156" t="str">
        <f t="shared" si="12"/>
        <v/>
      </c>
    </row>
    <row r="121" spans="1:18" x14ac:dyDescent="0.3">
      <c r="A121">
        <f t="shared" si="10"/>
        <v>0</v>
      </c>
      <c r="B121" t="str">
        <f>H121&amp;" "&amp;COUNTIFS($H$3:H121,H121)</f>
        <v xml:space="preserve"> 0</v>
      </c>
      <c r="C121" s="34"/>
      <c r="D121" s="32"/>
      <c r="E121" s="32"/>
      <c r="F121" s="32"/>
      <c r="G121" s="32"/>
      <c r="H121" s="32"/>
      <c r="I121" s="105" t="str">
        <f t="shared" si="11"/>
        <v/>
      </c>
      <c r="J121" s="45"/>
      <c r="K121" s="45"/>
      <c r="L121" s="33"/>
      <c r="M121" s="32"/>
      <c r="N121" s="47"/>
      <c r="O121" s="88"/>
      <c r="P121" s="2" t="str">
        <f t="shared" si="8"/>
        <v/>
      </c>
      <c r="Q121" s="2" t="str">
        <f t="shared" si="9"/>
        <v/>
      </c>
      <c r="R121" s="156" t="str">
        <f t="shared" si="12"/>
        <v/>
      </c>
    </row>
    <row r="122" spans="1:18" x14ac:dyDescent="0.3">
      <c r="A122">
        <f t="shared" si="10"/>
        <v>0</v>
      </c>
      <c r="B122" t="str">
        <f>H122&amp;" "&amp;COUNTIFS($H$3:H122,H122)</f>
        <v xml:space="preserve"> 0</v>
      </c>
      <c r="C122" s="34"/>
      <c r="D122" s="32"/>
      <c r="E122" s="32"/>
      <c r="F122" s="32"/>
      <c r="G122" s="32"/>
      <c r="H122" s="32"/>
      <c r="I122" s="105" t="str">
        <f t="shared" si="11"/>
        <v/>
      </c>
      <c r="J122" s="45"/>
      <c r="K122" s="45"/>
      <c r="L122" s="33"/>
      <c r="M122" s="32"/>
      <c r="N122" s="47"/>
      <c r="O122" s="88"/>
      <c r="P122" s="2" t="str">
        <f t="shared" si="8"/>
        <v/>
      </c>
      <c r="Q122" s="2" t="str">
        <f t="shared" si="9"/>
        <v/>
      </c>
      <c r="R122" s="156" t="str">
        <f t="shared" si="12"/>
        <v/>
      </c>
    </row>
    <row r="123" spans="1:18" x14ac:dyDescent="0.3">
      <c r="A123">
        <f t="shared" si="10"/>
        <v>0</v>
      </c>
      <c r="B123" t="str">
        <f>H123&amp;" "&amp;COUNTIFS($H$3:H123,H123)</f>
        <v xml:space="preserve"> 0</v>
      </c>
      <c r="C123" s="34"/>
      <c r="D123" s="32"/>
      <c r="E123" s="32"/>
      <c r="F123" s="32"/>
      <c r="G123" s="32"/>
      <c r="H123" s="32"/>
      <c r="I123" s="105" t="str">
        <f t="shared" si="11"/>
        <v/>
      </c>
      <c r="J123" s="45"/>
      <c r="K123" s="45"/>
      <c r="L123" s="33"/>
      <c r="M123" s="32"/>
      <c r="N123" s="47"/>
      <c r="O123" s="88"/>
      <c r="P123" s="2" t="str">
        <f t="shared" si="8"/>
        <v/>
      </c>
      <c r="Q123" s="2" t="str">
        <f t="shared" si="9"/>
        <v/>
      </c>
      <c r="R123" s="156" t="str">
        <f t="shared" si="12"/>
        <v/>
      </c>
    </row>
    <row r="124" spans="1:18" x14ac:dyDescent="0.3">
      <c r="A124">
        <f t="shared" si="10"/>
        <v>0</v>
      </c>
      <c r="B124" t="str">
        <f>H124&amp;" "&amp;COUNTIFS($H$3:H124,H124)</f>
        <v xml:space="preserve"> 0</v>
      </c>
      <c r="C124" s="34"/>
      <c r="D124" s="32"/>
      <c r="E124" s="32"/>
      <c r="F124" s="32"/>
      <c r="G124" s="32"/>
      <c r="H124" s="32"/>
      <c r="I124" s="105" t="str">
        <f t="shared" si="11"/>
        <v/>
      </c>
      <c r="J124" s="45"/>
      <c r="K124" s="45"/>
      <c r="L124" s="33"/>
      <c r="M124" s="32"/>
      <c r="N124" s="47"/>
      <c r="O124" s="88"/>
      <c r="P124" s="2" t="str">
        <f t="shared" si="8"/>
        <v/>
      </c>
      <c r="Q124" s="2" t="str">
        <f t="shared" si="9"/>
        <v/>
      </c>
      <c r="R124" s="156" t="str">
        <f t="shared" si="12"/>
        <v/>
      </c>
    </row>
    <row r="125" spans="1:18" x14ac:dyDescent="0.3">
      <c r="A125">
        <f t="shared" si="10"/>
        <v>0</v>
      </c>
      <c r="B125" t="str">
        <f>H125&amp;" "&amp;COUNTIFS($H$3:H125,H125)</f>
        <v xml:space="preserve"> 0</v>
      </c>
      <c r="C125" s="34"/>
      <c r="D125" s="32"/>
      <c r="E125" s="32"/>
      <c r="F125" s="32"/>
      <c r="G125" s="32"/>
      <c r="H125" s="32"/>
      <c r="I125" s="105" t="str">
        <f t="shared" si="11"/>
        <v/>
      </c>
      <c r="J125" s="45"/>
      <c r="K125" s="45"/>
      <c r="L125" s="33"/>
      <c r="M125" s="32"/>
      <c r="N125" s="47"/>
      <c r="O125" s="88"/>
      <c r="P125" s="2" t="str">
        <f t="shared" si="8"/>
        <v/>
      </c>
      <c r="Q125" s="2" t="str">
        <f t="shared" si="9"/>
        <v/>
      </c>
      <c r="R125" s="156" t="str">
        <f t="shared" si="12"/>
        <v/>
      </c>
    </row>
    <row r="126" spans="1:18" x14ac:dyDescent="0.3">
      <c r="A126">
        <f t="shared" si="10"/>
        <v>0</v>
      </c>
      <c r="B126" t="str">
        <f>H126&amp;" "&amp;COUNTIFS($H$3:H126,H126)</f>
        <v xml:space="preserve"> 0</v>
      </c>
      <c r="C126" s="34"/>
      <c r="D126" s="32"/>
      <c r="E126" s="32"/>
      <c r="F126" s="32"/>
      <c r="G126" s="32"/>
      <c r="H126" s="32"/>
      <c r="I126" s="105" t="str">
        <f t="shared" si="11"/>
        <v/>
      </c>
      <c r="J126" s="45"/>
      <c r="K126" s="45"/>
      <c r="L126" s="33"/>
      <c r="M126" s="32"/>
      <c r="N126" s="47"/>
      <c r="O126" s="88"/>
      <c r="P126" s="2" t="str">
        <f t="shared" si="8"/>
        <v/>
      </c>
      <c r="Q126" s="2" t="str">
        <f t="shared" si="9"/>
        <v/>
      </c>
      <c r="R126" s="156" t="str">
        <f t="shared" si="12"/>
        <v/>
      </c>
    </row>
    <row r="127" spans="1:18" x14ac:dyDescent="0.3">
      <c r="A127">
        <f t="shared" si="10"/>
        <v>0</v>
      </c>
      <c r="B127" t="str">
        <f>H127&amp;" "&amp;COUNTIFS($H$3:H127,H127)</f>
        <v xml:space="preserve"> 0</v>
      </c>
      <c r="C127" s="34"/>
      <c r="D127" s="32"/>
      <c r="E127" s="32"/>
      <c r="F127" s="32"/>
      <c r="G127" s="32"/>
      <c r="H127" s="32"/>
      <c r="I127" s="105" t="str">
        <f t="shared" si="11"/>
        <v/>
      </c>
      <c r="J127" s="45"/>
      <c r="K127" s="45"/>
      <c r="L127" s="33"/>
      <c r="M127" s="32"/>
      <c r="N127" s="47"/>
      <c r="O127" s="88"/>
      <c r="P127" s="2" t="str">
        <f t="shared" si="8"/>
        <v/>
      </c>
      <c r="Q127" s="2" t="str">
        <f t="shared" si="9"/>
        <v/>
      </c>
      <c r="R127" s="156" t="str">
        <f t="shared" si="12"/>
        <v/>
      </c>
    </row>
    <row r="128" spans="1:18" x14ac:dyDescent="0.3">
      <c r="A128">
        <f t="shared" si="10"/>
        <v>0</v>
      </c>
      <c r="B128" t="str">
        <f>H128&amp;" "&amp;COUNTIFS($H$3:H128,H128)</f>
        <v xml:space="preserve"> 0</v>
      </c>
      <c r="C128" s="34"/>
      <c r="D128" s="32"/>
      <c r="E128" s="32"/>
      <c r="F128" s="32"/>
      <c r="G128" s="32"/>
      <c r="H128" s="32"/>
      <c r="I128" s="105" t="str">
        <f t="shared" si="11"/>
        <v/>
      </c>
      <c r="J128" s="45"/>
      <c r="K128" s="45"/>
      <c r="L128" s="33"/>
      <c r="M128" s="32"/>
      <c r="N128" s="47"/>
      <c r="O128" s="88"/>
      <c r="P128" s="2" t="str">
        <f t="shared" si="8"/>
        <v/>
      </c>
      <c r="Q128" s="2" t="str">
        <f t="shared" si="9"/>
        <v/>
      </c>
      <c r="R128" s="156" t="str">
        <f t="shared" si="12"/>
        <v/>
      </c>
    </row>
    <row r="129" spans="1:18" x14ac:dyDescent="0.3">
      <c r="A129">
        <f t="shared" si="10"/>
        <v>0</v>
      </c>
      <c r="B129" t="str">
        <f>H129&amp;" "&amp;COUNTIFS($H$3:H129,H129)</f>
        <v xml:space="preserve"> 0</v>
      </c>
      <c r="C129" s="34"/>
      <c r="D129" s="32"/>
      <c r="E129" s="32"/>
      <c r="F129" s="32"/>
      <c r="G129" s="32"/>
      <c r="H129" s="32"/>
      <c r="I129" s="105" t="str">
        <f t="shared" si="11"/>
        <v/>
      </c>
      <c r="J129" s="45"/>
      <c r="K129" s="45"/>
      <c r="L129" s="33"/>
      <c r="M129" s="32"/>
      <c r="N129" s="47"/>
      <c r="O129" s="88"/>
      <c r="P129" s="2" t="str">
        <f t="shared" si="8"/>
        <v/>
      </c>
      <c r="Q129" s="2" t="str">
        <f t="shared" si="9"/>
        <v/>
      </c>
      <c r="R129" s="156" t="str">
        <f t="shared" si="12"/>
        <v/>
      </c>
    </row>
    <row r="130" spans="1:18" x14ac:dyDescent="0.3">
      <c r="A130">
        <f t="shared" si="10"/>
        <v>0</v>
      </c>
      <c r="B130" t="str">
        <f>H130&amp;" "&amp;COUNTIFS($H$3:H130,H130)</f>
        <v xml:space="preserve"> 0</v>
      </c>
      <c r="C130" s="34"/>
      <c r="D130" s="32"/>
      <c r="E130" s="32"/>
      <c r="F130" s="32"/>
      <c r="G130" s="32"/>
      <c r="H130" s="32"/>
      <c r="I130" s="105" t="str">
        <f t="shared" si="11"/>
        <v/>
      </c>
      <c r="J130" s="45"/>
      <c r="K130" s="45"/>
      <c r="L130" s="33"/>
      <c r="M130" s="32"/>
      <c r="N130" s="47"/>
      <c r="O130" s="88"/>
      <c r="P130" s="2" t="str">
        <f t="shared" si="8"/>
        <v/>
      </c>
      <c r="Q130" s="2" t="str">
        <f t="shared" si="9"/>
        <v/>
      </c>
      <c r="R130" s="156" t="str">
        <f t="shared" si="12"/>
        <v/>
      </c>
    </row>
    <row r="131" spans="1:18" x14ac:dyDescent="0.3">
      <c r="A131">
        <f t="shared" si="10"/>
        <v>0</v>
      </c>
      <c r="B131" t="str">
        <f>H131&amp;" "&amp;COUNTIFS($H$3:H131,H131)</f>
        <v xml:space="preserve"> 0</v>
      </c>
      <c r="C131" s="34"/>
      <c r="D131" s="32"/>
      <c r="E131" s="32"/>
      <c r="F131" s="32"/>
      <c r="G131" s="32"/>
      <c r="H131" s="32"/>
      <c r="I131" s="105" t="str">
        <f t="shared" si="11"/>
        <v/>
      </c>
      <c r="J131" s="45"/>
      <c r="K131" s="45"/>
      <c r="L131" s="33"/>
      <c r="M131" s="32"/>
      <c r="N131" s="47"/>
      <c r="O131" s="88"/>
      <c r="P131" s="2" t="str">
        <f t="shared" ref="P131:P194" si="13">IFERROR(VLOOKUP(O131,DAFTAR_TOKO,2,FALSE),"")</f>
        <v/>
      </c>
      <c r="Q131" s="2" t="str">
        <f t="shared" ref="Q131:Q194" si="14">IFERROR(VLOOKUP(O131,DAFTAR_TOKO,3,FALSE),"")</f>
        <v/>
      </c>
      <c r="R131" s="156" t="str">
        <f t="shared" si="12"/>
        <v/>
      </c>
    </row>
    <row r="132" spans="1:18" x14ac:dyDescent="0.3">
      <c r="A132">
        <f t="shared" ref="A132:A195" si="15">H132</f>
        <v>0</v>
      </c>
      <c r="B132" t="str">
        <f>H132&amp;" "&amp;COUNTIFS($H$3:H132,H132)</f>
        <v xml:space="preserve"> 0</v>
      </c>
      <c r="C132" s="34"/>
      <c r="D132" s="32"/>
      <c r="E132" s="32"/>
      <c r="F132" s="32"/>
      <c r="G132" s="32"/>
      <c r="H132" s="32"/>
      <c r="I132" s="105" t="str">
        <f t="shared" ref="I132:I195" si="16">IF(K132="","",L132/K132)</f>
        <v/>
      </c>
      <c r="J132" s="45"/>
      <c r="K132" s="45"/>
      <c r="L132" s="33"/>
      <c r="M132" s="32"/>
      <c r="N132" s="47"/>
      <c r="O132" s="88"/>
      <c r="P132" s="2" t="str">
        <f t="shared" si="13"/>
        <v/>
      </c>
      <c r="Q132" s="2" t="str">
        <f t="shared" si="14"/>
        <v/>
      </c>
      <c r="R132" s="156" t="str">
        <f t="shared" ref="R132:R195" si="17">IF(C132="","",C132)</f>
        <v/>
      </c>
    </row>
    <row r="133" spans="1:18" x14ac:dyDescent="0.3">
      <c r="A133">
        <f t="shared" si="15"/>
        <v>0</v>
      </c>
      <c r="B133" t="str">
        <f>H133&amp;" "&amp;COUNTIFS($H$3:H133,H133)</f>
        <v xml:space="preserve"> 0</v>
      </c>
      <c r="C133" s="34"/>
      <c r="D133" s="32"/>
      <c r="E133" s="32"/>
      <c r="F133" s="32"/>
      <c r="G133" s="32"/>
      <c r="H133" s="32"/>
      <c r="I133" s="105" t="str">
        <f t="shared" si="16"/>
        <v/>
      </c>
      <c r="J133" s="45"/>
      <c r="K133" s="45"/>
      <c r="L133" s="33"/>
      <c r="M133" s="32"/>
      <c r="N133" s="47"/>
      <c r="O133" s="88"/>
      <c r="P133" s="2" t="str">
        <f t="shared" si="13"/>
        <v/>
      </c>
      <c r="Q133" s="2" t="str">
        <f t="shared" si="14"/>
        <v/>
      </c>
      <c r="R133" s="156" t="str">
        <f t="shared" si="17"/>
        <v/>
      </c>
    </row>
    <row r="134" spans="1:18" x14ac:dyDescent="0.3">
      <c r="A134">
        <f t="shared" si="15"/>
        <v>0</v>
      </c>
      <c r="B134" t="str">
        <f>H134&amp;" "&amp;COUNTIFS($H$3:H134,H134)</f>
        <v xml:space="preserve"> 0</v>
      </c>
      <c r="C134" s="34"/>
      <c r="D134" s="32"/>
      <c r="E134" s="32"/>
      <c r="F134" s="32"/>
      <c r="G134" s="32"/>
      <c r="H134" s="32"/>
      <c r="I134" s="105" t="str">
        <f t="shared" si="16"/>
        <v/>
      </c>
      <c r="J134" s="45"/>
      <c r="K134" s="45"/>
      <c r="L134" s="33"/>
      <c r="M134" s="32"/>
      <c r="N134" s="47"/>
      <c r="O134" s="88"/>
      <c r="P134" s="2" t="str">
        <f t="shared" si="13"/>
        <v/>
      </c>
      <c r="Q134" s="2" t="str">
        <f t="shared" si="14"/>
        <v/>
      </c>
      <c r="R134" s="156" t="str">
        <f t="shared" si="17"/>
        <v/>
      </c>
    </row>
    <row r="135" spans="1:18" x14ac:dyDescent="0.3">
      <c r="A135">
        <f t="shared" si="15"/>
        <v>0</v>
      </c>
      <c r="B135" t="str">
        <f>H135&amp;" "&amp;COUNTIFS($H$3:H135,H135)</f>
        <v xml:space="preserve"> 0</v>
      </c>
      <c r="C135" s="34"/>
      <c r="D135" s="32"/>
      <c r="E135" s="32"/>
      <c r="F135" s="32"/>
      <c r="G135" s="32"/>
      <c r="H135" s="32"/>
      <c r="I135" s="105" t="str">
        <f t="shared" si="16"/>
        <v/>
      </c>
      <c r="J135" s="45"/>
      <c r="K135" s="45"/>
      <c r="L135" s="33"/>
      <c r="M135" s="32"/>
      <c r="N135" s="47"/>
      <c r="O135" s="88"/>
      <c r="P135" s="2" t="str">
        <f t="shared" si="13"/>
        <v/>
      </c>
      <c r="Q135" s="2" t="str">
        <f t="shared" si="14"/>
        <v/>
      </c>
      <c r="R135" s="156" t="str">
        <f t="shared" si="17"/>
        <v/>
      </c>
    </row>
    <row r="136" spans="1:18" x14ac:dyDescent="0.3">
      <c r="A136">
        <f t="shared" si="15"/>
        <v>0</v>
      </c>
      <c r="B136" t="str">
        <f>H136&amp;" "&amp;COUNTIFS($H$3:H136,H136)</f>
        <v xml:space="preserve"> 0</v>
      </c>
      <c r="C136" s="34"/>
      <c r="D136" s="32"/>
      <c r="E136" s="32"/>
      <c r="F136" s="32"/>
      <c r="G136" s="32"/>
      <c r="H136" s="32"/>
      <c r="I136" s="105" t="str">
        <f t="shared" si="16"/>
        <v/>
      </c>
      <c r="J136" s="45"/>
      <c r="K136" s="45"/>
      <c r="L136" s="33"/>
      <c r="M136" s="32"/>
      <c r="N136" s="47"/>
      <c r="O136" s="88"/>
      <c r="P136" s="2" t="str">
        <f t="shared" si="13"/>
        <v/>
      </c>
      <c r="Q136" s="2" t="str">
        <f t="shared" si="14"/>
        <v/>
      </c>
      <c r="R136" s="156" t="str">
        <f t="shared" si="17"/>
        <v/>
      </c>
    </row>
    <row r="137" spans="1:18" x14ac:dyDescent="0.3">
      <c r="A137">
        <f t="shared" si="15"/>
        <v>0</v>
      </c>
      <c r="B137" t="str">
        <f>H137&amp;" "&amp;COUNTIFS($H$3:H137,H137)</f>
        <v xml:space="preserve"> 0</v>
      </c>
      <c r="C137" s="34"/>
      <c r="D137" s="32"/>
      <c r="E137" s="32"/>
      <c r="F137" s="32"/>
      <c r="G137" s="32"/>
      <c r="H137" s="32"/>
      <c r="I137" s="105" t="str">
        <f t="shared" si="16"/>
        <v/>
      </c>
      <c r="J137" s="45"/>
      <c r="K137" s="45"/>
      <c r="L137" s="33"/>
      <c r="M137" s="32"/>
      <c r="N137" s="47"/>
      <c r="O137" s="88"/>
      <c r="P137" s="2" t="str">
        <f t="shared" si="13"/>
        <v/>
      </c>
      <c r="Q137" s="2" t="str">
        <f t="shared" si="14"/>
        <v/>
      </c>
      <c r="R137" s="156" t="str">
        <f t="shared" si="17"/>
        <v/>
      </c>
    </row>
    <row r="138" spans="1:18" x14ac:dyDescent="0.3">
      <c r="A138">
        <f t="shared" si="15"/>
        <v>0</v>
      </c>
      <c r="B138" t="str">
        <f>H138&amp;" "&amp;COUNTIFS($H$3:H138,H138)</f>
        <v xml:space="preserve"> 0</v>
      </c>
      <c r="C138" s="34"/>
      <c r="D138" s="32"/>
      <c r="E138" s="32"/>
      <c r="F138" s="32"/>
      <c r="G138" s="32"/>
      <c r="H138" s="32"/>
      <c r="I138" s="105" t="str">
        <f t="shared" si="16"/>
        <v/>
      </c>
      <c r="J138" s="45"/>
      <c r="K138" s="45"/>
      <c r="L138" s="33"/>
      <c r="M138" s="32"/>
      <c r="N138" s="47"/>
      <c r="O138" s="88"/>
      <c r="P138" s="2" t="str">
        <f t="shared" si="13"/>
        <v/>
      </c>
      <c r="Q138" s="2" t="str">
        <f t="shared" si="14"/>
        <v/>
      </c>
      <c r="R138" s="156" t="str">
        <f t="shared" si="17"/>
        <v/>
      </c>
    </row>
    <row r="139" spans="1:18" x14ac:dyDescent="0.3">
      <c r="A139">
        <f t="shared" si="15"/>
        <v>0</v>
      </c>
      <c r="B139" t="str">
        <f>H139&amp;" "&amp;COUNTIFS($H$3:H139,H139)</f>
        <v xml:space="preserve"> 0</v>
      </c>
      <c r="C139" s="34"/>
      <c r="D139" s="32"/>
      <c r="E139" s="32"/>
      <c r="F139" s="32"/>
      <c r="G139" s="32"/>
      <c r="H139" s="32"/>
      <c r="I139" s="105" t="str">
        <f t="shared" si="16"/>
        <v/>
      </c>
      <c r="J139" s="45"/>
      <c r="K139" s="45"/>
      <c r="L139" s="33"/>
      <c r="M139" s="32"/>
      <c r="N139" s="47"/>
      <c r="O139" s="88"/>
      <c r="P139" s="2" t="str">
        <f t="shared" si="13"/>
        <v/>
      </c>
      <c r="Q139" s="2" t="str">
        <f t="shared" si="14"/>
        <v/>
      </c>
      <c r="R139" s="156" t="str">
        <f t="shared" si="17"/>
        <v/>
      </c>
    </row>
    <row r="140" spans="1:18" x14ac:dyDescent="0.3">
      <c r="A140">
        <f t="shared" si="15"/>
        <v>0</v>
      </c>
      <c r="B140" t="str">
        <f>H140&amp;" "&amp;COUNTIFS($H$3:H140,H140)</f>
        <v xml:space="preserve"> 0</v>
      </c>
      <c r="C140" s="34"/>
      <c r="D140" s="32"/>
      <c r="E140" s="32"/>
      <c r="F140" s="32"/>
      <c r="G140" s="32"/>
      <c r="H140" s="32"/>
      <c r="I140" s="105" t="str">
        <f t="shared" si="16"/>
        <v/>
      </c>
      <c r="J140" s="45"/>
      <c r="K140" s="45"/>
      <c r="L140" s="33"/>
      <c r="M140" s="32"/>
      <c r="N140" s="47"/>
      <c r="O140" s="88"/>
      <c r="P140" s="2" t="str">
        <f t="shared" si="13"/>
        <v/>
      </c>
      <c r="Q140" s="2" t="str">
        <f t="shared" si="14"/>
        <v/>
      </c>
      <c r="R140" s="156" t="str">
        <f t="shared" si="17"/>
        <v/>
      </c>
    </row>
    <row r="141" spans="1:18" x14ac:dyDescent="0.3">
      <c r="A141">
        <f t="shared" si="15"/>
        <v>0</v>
      </c>
      <c r="B141" t="str">
        <f>H141&amp;" "&amp;COUNTIFS($H$3:H141,H141)</f>
        <v xml:space="preserve"> 0</v>
      </c>
      <c r="C141" s="34"/>
      <c r="D141" s="32"/>
      <c r="E141" s="32"/>
      <c r="F141" s="32"/>
      <c r="G141" s="32"/>
      <c r="H141" s="32"/>
      <c r="I141" s="105" t="str">
        <f t="shared" si="16"/>
        <v/>
      </c>
      <c r="J141" s="45"/>
      <c r="K141" s="45"/>
      <c r="L141" s="33"/>
      <c r="M141" s="32"/>
      <c r="N141" s="47"/>
      <c r="O141" s="88"/>
      <c r="P141" s="2" t="str">
        <f t="shared" si="13"/>
        <v/>
      </c>
      <c r="Q141" s="2" t="str">
        <f t="shared" si="14"/>
        <v/>
      </c>
      <c r="R141" s="156" t="str">
        <f t="shared" si="17"/>
        <v/>
      </c>
    </row>
    <row r="142" spans="1:18" x14ac:dyDescent="0.3">
      <c r="A142">
        <f t="shared" si="15"/>
        <v>0</v>
      </c>
      <c r="B142" t="str">
        <f>H142&amp;" "&amp;COUNTIFS($H$3:H142,H142)</f>
        <v xml:space="preserve"> 0</v>
      </c>
      <c r="C142" s="34"/>
      <c r="D142" s="32"/>
      <c r="E142" s="32"/>
      <c r="F142" s="32"/>
      <c r="G142" s="32"/>
      <c r="H142" s="32"/>
      <c r="I142" s="105" t="str">
        <f t="shared" si="16"/>
        <v/>
      </c>
      <c r="J142" s="45"/>
      <c r="K142" s="45"/>
      <c r="L142" s="33"/>
      <c r="M142" s="32"/>
      <c r="N142" s="47"/>
      <c r="O142" s="88"/>
      <c r="P142" s="2" t="str">
        <f t="shared" si="13"/>
        <v/>
      </c>
      <c r="Q142" s="2" t="str">
        <f t="shared" si="14"/>
        <v/>
      </c>
      <c r="R142" s="156" t="str">
        <f t="shared" si="17"/>
        <v/>
      </c>
    </row>
    <row r="143" spans="1:18" x14ac:dyDescent="0.3">
      <c r="A143">
        <f t="shared" si="15"/>
        <v>0</v>
      </c>
      <c r="B143" t="str">
        <f>H143&amp;" "&amp;COUNTIFS($H$3:H143,H143)</f>
        <v xml:space="preserve"> 0</v>
      </c>
      <c r="C143" s="34"/>
      <c r="D143" s="32"/>
      <c r="E143" s="32"/>
      <c r="F143" s="32"/>
      <c r="G143" s="32"/>
      <c r="H143" s="32"/>
      <c r="I143" s="105" t="str">
        <f t="shared" si="16"/>
        <v/>
      </c>
      <c r="J143" s="45"/>
      <c r="K143" s="45"/>
      <c r="L143" s="33"/>
      <c r="M143" s="32"/>
      <c r="N143" s="47"/>
      <c r="O143" s="88"/>
      <c r="P143" s="2" t="str">
        <f t="shared" si="13"/>
        <v/>
      </c>
      <c r="Q143" s="2" t="str">
        <f t="shared" si="14"/>
        <v/>
      </c>
      <c r="R143" s="156" t="str">
        <f t="shared" si="17"/>
        <v/>
      </c>
    </row>
    <row r="144" spans="1:18" x14ac:dyDescent="0.3">
      <c r="A144">
        <f t="shared" si="15"/>
        <v>0</v>
      </c>
      <c r="B144" t="str">
        <f>H144&amp;" "&amp;COUNTIFS($H$3:H144,H144)</f>
        <v xml:space="preserve"> 0</v>
      </c>
      <c r="C144" s="34"/>
      <c r="D144" s="32"/>
      <c r="E144" s="32"/>
      <c r="F144" s="32"/>
      <c r="G144" s="32"/>
      <c r="H144" s="32"/>
      <c r="I144" s="105" t="str">
        <f t="shared" si="16"/>
        <v/>
      </c>
      <c r="J144" s="45"/>
      <c r="K144" s="45"/>
      <c r="L144" s="33"/>
      <c r="M144" s="32"/>
      <c r="N144" s="47"/>
      <c r="O144" s="88"/>
      <c r="P144" s="2" t="str">
        <f t="shared" si="13"/>
        <v/>
      </c>
      <c r="Q144" s="2" t="str">
        <f t="shared" si="14"/>
        <v/>
      </c>
      <c r="R144" s="156" t="str">
        <f t="shared" si="17"/>
        <v/>
      </c>
    </row>
    <row r="145" spans="1:18" x14ac:dyDescent="0.3">
      <c r="A145">
        <f t="shared" si="15"/>
        <v>0</v>
      </c>
      <c r="B145" t="str">
        <f>H145&amp;" "&amp;COUNTIFS($H$3:H145,H145)</f>
        <v xml:space="preserve"> 0</v>
      </c>
      <c r="C145" s="34"/>
      <c r="D145" s="32"/>
      <c r="E145" s="32"/>
      <c r="F145" s="32"/>
      <c r="G145" s="32"/>
      <c r="H145" s="32"/>
      <c r="I145" s="105" t="str">
        <f t="shared" si="16"/>
        <v/>
      </c>
      <c r="J145" s="45"/>
      <c r="K145" s="45"/>
      <c r="L145" s="33"/>
      <c r="M145" s="32"/>
      <c r="N145" s="47"/>
      <c r="O145" s="88"/>
      <c r="P145" s="2" t="str">
        <f t="shared" si="13"/>
        <v/>
      </c>
      <c r="Q145" s="2" t="str">
        <f t="shared" si="14"/>
        <v/>
      </c>
      <c r="R145" s="156" t="str">
        <f t="shared" si="17"/>
        <v/>
      </c>
    </row>
    <row r="146" spans="1:18" x14ac:dyDescent="0.3">
      <c r="A146">
        <f t="shared" si="15"/>
        <v>0</v>
      </c>
      <c r="B146" t="str">
        <f>H146&amp;" "&amp;COUNTIFS($H$3:H146,H146)</f>
        <v xml:space="preserve"> 0</v>
      </c>
      <c r="C146" s="34"/>
      <c r="D146" s="32"/>
      <c r="E146" s="32"/>
      <c r="F146" s="32"/>
      <c r="G146" s="32"/>
      <c r="H146" s="32"/>
      <c r="I146" s="105" t="str">
        <f t="shared" si="16"/>
        <v/>
      </c>
      <c r="J146" s="45"/>
      <c r="K146" s="45"/>
      <c r="L146" s="33"/>
      <c r="M146" s="32"/>
      <c r="N146" s="47"/>
      <c r="O146" s="88"/>
      <c r="P146" s="2" t="str">
        <f t="shared" si="13"/>
        <v/>
      </c>
      <c r="Q146" s="2" t="str">
        <f t="shared" si="14"/>
        <v/>
      </c>
      <c r="R146" s="156" t="str">
        <f t="shared" si="17"/>
        <v/>
      </c>
    </row>
    <row r="147" spans="1:18" x14ac:dyDescent="0.3">
      <c r="A147">
        <f t="shared" si="15"/>
        <v>0</v>
      </c>
      <c r="B147" t="str">
        <f>H147&amp;" "&amp;COUNTIFS($H$3:H147,H147)</f>
        <v xml:space="preserve"> 0</v>
      </c>
      <c r="C147" s="34"/>
      <c r="D147" s="32"/>
      <c r="E147" s="32"/>
      <c r="F147" s="32"/>
      <c r="G147" s="32"/>
      <c r="H147" s="32"/>
      <c r="I147" s="105" t="str">
        <f t="shared" si="16"/>
        <v/>
      </c>
      <c r="J147" s="45"/>
      <c r="K147" s="45"/>
      <c r="L147" s="33"/>
      <c r="M147" s="32"/>
      <c r="N147" s="47"/>
      <c r="O147" s="88"/>
      <c r="P147" s="2" t="str">
        <f t="shared" si="13"/>
        <v/>
      </c>
      <c r="Q147" s="2" t="str">
        <f t="shared" si="14"/>
        <v/>
      </c>
      <c r="R147" s="156" t="str">
        <f t="shared" si="17"/>
        <v/>
      </c>
    </row>
    <row r="148" spans="1:18" x14ac:dyDescent="0.3">
      <c r="A148">
        <f t="shared" si="15"/>
        <v>0</v>
      </c>
      <c r="B148" t="str">
        <f>H148&amp;" "&amp;COUNTIFS($H$3:H148,H148)</f>
        <v xml:space="preserve"> 0</v>
      </c>
      <c r="C148" s="34"/>
      <c r="D148" s="32"/>
      <c r="E148" s="32"/>
      <c r="F148" s="32"/>
      <c r="G148" s="32"/>
      <c r="H148" s="32"/>
      <c r="I148" s="105" t="str">
        <f t="shared" si="16"/>
        <v/>
      </c>
      <c r="J148" s="45"/>
      <c r="K148" s="45"/>
      <c r="L148" s="33"/>
      <c r="M148" s="32"/>
      <c r="N148" s="47"/>
      <c r="O148" s="88"/>
      <c r="P148" s="2" t="str">
        <f t="shared" si="13"/>
        <v/>
      </c>
      <c r="Q148" s="2" t="str">
        <f t="shared" si="14"/>
        <v/>
      </c>
      <c r="R148" s="156" t="str">
        <f t="shared" si="17"/>
        <v/>
      </c>
    </row>
    <row r="149" spans="1:18" x14ac:dyDescent="0.3">
      <c r="A149">
        <f t="shared" si="15"/>
        <v>0</v>
      </c>
      <c r="B149" t="str">
        <f>H149&amp;" "&amp;COUNTIFS($H$3:H149,H149)</f>
        <v xml:space="preserve"> 0</v>
      </c>
      <c r="C149" s="34"/>
      <c r="D149" s="32"/>
      <c r="E149" s="32"/>
      <c r="F149" s="32"/>
      <c r="G149" s="32"/>
      <c r="H149" s="32"/>
      <c r="I149" s="105" t="str">
        <f t="shared" si="16"/>
        <v/>
      </c>
      <c r="J149" s="45"/>
      <c r="K149" s="45"/>
      <c r="L149" s="33"/>
      <c r="M149" s="32"/>
      <c r="N149" s="47"/>
      <c r="O149" s="88"/>
      <c r="P149" s="2" t="str">
        <f t="shared" si="13"/>
        <v/>
      </c>
      <c r="Q149" s="2" t="str">
        <f t="shared" si="14"/>
        <v/>
      </c>
      <c r="R149" s="156" t="str">
        <f t="shared" si="17"/>
        <v/>
      </c>
    </row>
    <row r="150" spans="1:18" x14ac:dyDescent="0.3">
      <c r="A150">
        <f t="shared" si="15"/>
        <v>0</v>
      </c>
      <c r="B150" t="str">
        <f>H150&amp;" "&amp;COUNTIFS($H$3:H150,H150)</f>
        <v xml:space="preserve"> 0</v>
      </c>
      <c r="C150" s="34"/>
      <c r="D150" s="32"/>
      <c r="E150" s="32"/>
      <c r="F150" s="32"/>
      <c r="G150" s="32"/>
      <c r="H150" s="32"/>
      <c r="I150" s="105" t="str">
        <f t="shared" si="16"/>
        <v/>
      </c>
      <c r="J150" s="45"/>
      <c r="K150" s="45"/>
      <c r="L150" s="33"/>
      <c r="M150" s="32"/>
      <c r="N150" s="47"/>
      <c r="O150" s="88"/>
      <c r="P150" s="2" t="str">
        <f t="shared" si="13"/>
        <v/>
      </c>
      <c r="Q150" s="2" t="str">
        <f t="shared" si="14"/>
        <v/>
      </c>
      <c r="R150" s="156" t="str">
        <f t="shared" si="17"/>
        <v/>
      </c>
    </row>
    <row r="151" spans="1:18" x14ac:dyDescent="0.3">
      <c r="A151">
        <f t="shared" si="15"/>
        <v>0</v>
      </c>
      <c r="B151" t="str">
        <f>H151&amp;" "&amp;COUNTIFS($H$3:H151,H151)</f>
        <v xml:space="preserve"> 0</v>
      </c>
      <c r="C151" s="34"/>
      <c r="D151" s="32"/>
      <c r="E151" s="32"/>
      <c r="F151" s="32"/>
      <c r="G151" s="32"/>
      <c r="H151" s="32"/>
      <c r="I151" s="105" t="str">
        <f t="shared" si="16"/>
        <v/>
      </c>
      <c r="J151" s="45"/>
      <c r="K151" s="45"/>
      <c r="L151" s="33"/>
      <c r="M151" s="32"/>
      <c r="N151" s="47"/>
      <c r="O151" s="88"/>
      <c r="P151" s="2" t="str">
        <f t="shared" si="13"/>
        <v/>
      </c>
      <c r="Q151" s="2" t="str">
        <f t="shared" si="14"/>
        <v/>
      </c>
      <c r="R151" s="156" t="str">
        <f t="shared" si="17"/>
        <v/>
      </c>
    </row>
    <row r="152" spans="1:18" x14ac:dyDescent="0.3">
      <c r="A152">
        <f t="shared" si="15"/>
        <v>0</v>
      </c>
      <c r="B152" t="str">
        <f>H152&amp;" "&amp;COUNTIFS($H$3:H152,H152)</f>
        <v xml:space="preserve"> 0</v>
      </c>
      <c r="C152" s="34"/>
      <c r="D152" s="32"/>
      <c r="E152" s="32"/>
      <c r="F152" s="32"/>
      <c r="G152" s="32"/>
      <c r="H152" s="32"/>
      <c r="I152" s="105" t="str">
        <f t="shared" si="16"/>
        <v/>
      </c>
      <c r="J152" s="45"/>
      <c r="K152" s="45"/>
      <c r="L152" s="33"/>
      <c r="M152" s="32"/>
      <c r="N152" s="47"/>
      <c r="O152" s="88"/>
      <c r="P152" s="2" t="str">
        <f t="shared" si="13"/>
        <v/>
      </c>
      <c r="Q152" s="2" t="str">
        <f t="shared" si="14"/>
        <v/>
      </c>
      <c r="R152" s="156" t="str">
        <f t="shared" si="17"/>
        <v/>
      </c>
    </row>
    <row r="153" spans="1:18" x14ac:dyDescent="0.3">
      <c r="A153">
        <f t="shared" si="15"/>
        <v>0</v>
      </c>
      <c r="B153" t="str">
        <f>H153&amp;" "&amp;COUNTIFS($H$3:H153,H153)</f>
        <v xml:space="preserve"> 0</v>
      </c>
      <c r="C153" s="34"/>
      <c r="D153" s="32"/>
      <c r="E153" s="32"/>
      <c r="F153" s="32"/>
      <c r="G153" s="32"/>
      <c r="H153" s="32"/>
      <c r="I153" s="105" t="str">
        <f t="shared" si="16"/>
        <v/>
      </c>
      <c r="J153" s="45"/>
      <c r="K153" s="45"/>
      <c r="L153" s="33"/>
      <c r="M153" s="32"/>
      <c r="N153" s="47"/>
      <c r="O153" s="88"/>
      <c r="P153" s="2" t="str">
        <f t="shared" si="13"/>
        <v/>
      </c>
      <c r="Q153" s="2" t="str">
        <f t="shared" si="14"/>
        <v/>
      </c>
      <c r="R153" s="156" t="str">
        <f t="shared" si="17"/>
        <v/>
      </c>
    </row>
    <row r="154" spans="1:18" x14ac:dyDescent="0.3">
      <c r="A154">
        <f t="shared" si="15"/>
        <v>0</v>
      </c>
      <c r="B154" t="str">
        <f>H154&amp;" "&amp;COUNTIFS($H$3:H154,H154)</f>
        <v xml:space="preserve"> 0</v>
      </c>
      <c r="C154" s="34"/>
      <c r="D154" s="32"/>
      <c r="E154" s="32"/>
      <c r="F154" s="32"/>
      <c r="G154" s="32"/>
      <c r="H154" s="32"/>
      <c r="I154" s="105" t="str">
        <f t="shared" si="16"/>
        <v/>
      </c>
      <c r="J154" s="45"/>
      <c r="K154" s="45"/>
      <c r="L154" s="33"/>
      <c r="M154" s="32"/>
      <c r="N154" s="47"/>
      <c r="O154" s="88"/>
      <c r="P154" s="2" t="str">
        <f t="shared" si="13"/>
        <v/>
      </c>
      <c r="Q154" s="2" t="str">
        <f t="shared" si="14"/>
        <v/>
      </c>
      <c r="R154" s="156" t="str">
        <f t="shared" si="17"/>
        <v/>
      </c>
    </row>
    <row r="155" spans="1:18" x14ac:dyDescent="0.3">
      <c r="A155">
        <f t="shared" si="15"/>
        <v>0</v>
      </c>
      <c r="B155" t="str">
        <f>H155&amp;" "&amp;COUNTIFS($H$3:H155,H155)</f>
        <v xml:space="preserve"> 0</v>
      </c>
      <c r="C155" s="34"/>
      <c r="D155" s="32"/>
      <c r="E155" s="32"/>
      <c r="F155" s="32"/>
      <c r="G155" s="32"/>
      <c r="H155" s="32"/>
      <c r="I155" s="105" t="str">
        <f t="shared" si="16"/>
        <v/>
      </c>
      <c r="J155" s="45"/>
      <c r="K155" s="45"/>
      <c r="L155" s="33"/>
      <c r="M155" s="32"/>
      <c r="N155" s="47"/>
      <c r="O155" s="88"/>
      <c r="P155" s="2" t="str">
        <f t="shared" si="13"/>
        <v/>
      </c>
      <c r="Q155" s="2" t="str">
        <f t="shared" si="14"/>
        <v/>
      </c>
      <c r="R155" s="156" t="str">
        <f t="shared" si="17"/>
        <v/>
      </c>
    </row>
    <row r="156" spans="1:18" x14ac:dyDescent="0.3">
      <c r="A156">
        <f t="shared" si="15"/>
        <v>0</v>
      </c>
      <c r="B156" t="str">
        <f>H156&amp;" "&amp;COUNTIFS($H$3:H156,H156)</f>
        <v xml:space="preserve"> 0</v>
      </c>
      <c r="C156" s="34"/>
      <c r="D156" s="32"/>
      <c r="E156" s="32"/>
      <c r="F156" s="32"/>
      <c r="G156" s="32"/>
      <c r="H156" s="32"/>
      <c r="I156" s="105" t="str">
        <f t="shared" si="16"/>
        <v/>
      </c>
      <c r="J156" s="45"/>
      <c r="K156" s="45"/>
      <c r="L156" s="33"/>
      <c r="M156" s="32"/>
      <c r="N156" s="47"/>
      <c r="O156" s="88"/>
      <c r="P156" s="2" t="str">
        <f t="shared" si="13"/>
        <v/>
      </c>
      <c r="Q156" s="2" t="str">
        <f t="shared" si="14"/>
        <v/>
      </c>
      <c r="R156" s="156" t="str">
        <f t="shared" si="17"/>
        <v/>
      </c>
    </row>
    <row r="157" spans="1:18" x14ac:dyDescent="0.3">
      <c r="A157">
        <f t="shared" si="15"/>
        <v>0</v>
      </c>
      <c r="B157" t="str">
        <f>H157&amp;" "&amp;COUNTIFS($H$3:H157,H157)</f>
        <v xml:space="preserve"> 0</v>
      </c>
      <c r="C157" s="34"/>
      <c r="D157" s="32"/>
      <c r="E157" s="32"/>
      <c r="F157" s="32"/>
      <c r="G157" s="32"/>
      <c r="H157" s="32"/>
      <c r="I157" s="105" t="str">
        <f t="shared" si="16"/>
        <v/>
      </c>
      <c r="J157" s="45"/>
      <c r="K157" s="45"/>
      <c r="L157" s="33"/>
      <c r="M157" s="32"/>
      <c r="N157" s="47"/>
      <c r="O157" s="88"/>
      <c r="P157" s="2" t="str">
        <f t="shared" si="13"/>
        <v/>
      </c>
      <c r="Q157" s="2" t="str">
        <f t="shared" si="14"/>
        <v/>
      </c>
      <c r="R157" s="156" t="str">
        <f t="shared" si="17"/>
        <v/>
      </c>
    </row>
    <row r="158" spans="1:18" x14ac:dyDescent="0.3">
      <c r="A158">
        <f t="shared" si="15"/>
        <v>0</v>
      </c>
      <c r="B158" t="str">
        <f>H158&amp;" "&amp;COUNTIFS($H$3:H158,H158)</f>
        <v xml:space="preserve"> 0</v>
      </c>
      <c r="C158" s="34"/>
      <c r="D158" s="32"/>
      <c r="E158" s="32"/>
      <c r="F158" s="32"/>
      <c r="G158" s="32"/>
      <c r="H158" s="32"/>
      <c r="I158" s="105" t="str">
        <f t="shared" si="16"/>
        <v/>
      </c>
      <c r="J158" s="45"/>
      <c r="K158" s="45"/>
      <c r="L158" s="33"/>
      <c r="M158" s="32"/>
      <c r="N158" s="47"/>
      <c r="O158" s="88"/>
      <c r="P158" s="2" t="str">
        <f t="shared" si="13"/>
        <v/>
      </c>
      <c r="Q158" s="2" t="str">
        <f t="shared" si="14"/>
        <v/>
      </c>
      <c r="R158" s="156" t="str">
        <f t="shared" si="17"/>
        <v/>
      </c>
    </row>
    <row r="159" spans="1:18" x14ac:dyDescent="0.3">
      <c r="A159">
        <f t="shared" si="15"/>
        <v>0</v>
      </c>
      <c r="B159" t="str">
        <f>H159&amp;" "&amp;COUNTIFS($H$3:H159,H159)</f>
        <v xml:space="preserve"> 0</v>
      </c>
      <c r="C159" s="34"/>
      <c r="D159" s="32"/>
      <c r="E159" s="32"/>
      <c r="F159" s="32"/>
      <c r="G159" s="32"/>
      <c r="H159" s="32"/>
      <c r="I159" s="105" t="str">
        <f t="shared" si="16"/>
        <v/>
      </c>
      <c r="J159" s="45"/>
      <c r="K159" s="45"/>
      <c r="L159" s="33"/>
      <c r="M159" s="32"/>
      <c r="N159" s="47"/>
      <c r="O159" s="88"/>
      <c r="P159" s="2" t="str">
        <f t="shared" si="13"/>
        <v/>
      </c>
      <c r="Q159" s="2" t="str">
        <f t="shared" si="14"/>
        <v/>
      </c>
      <c r="R159" s="156" t="str">
        <f t="shared" si="17"/>
        <v/>
      </c>
    </row>
    <row r="160" spans="1:18" x14ac:dyDescent="0.3">
      <c r="A160">
        <f t="shared" si="15"/>
        <v>0</v>
      </c>
      <c r="B160" t="str">
        <f>H160&amp;" "&amp;COUNTIFS($H$3:H160,H160)</f>
        <v xml:space="preserve"> 0</v>
      </c>
      <c r="C160" s="34"/>
      <c r="D160" s="32"/>
      <c r="E160" s="32"/>
      <c r="F160" s="32"/>
      <c r="G160" s="32"/>
      <c r="H160" s="32"/>
      <c r="I160" s="105" t="str">
        <f t="shared" si="16"/>
        <v/>
      </c>
      <c r="J160" s="45"/>
      <c r="K160" s="45"/>
      <c r="L160" s="33"/>
      <c r="M160" s="32"/>
      <c r="N160" s="47"/>
      <c r="O160" s="88"/>
      <c r="P160" s="2" t="str">
        <f t="shared" si="13"/>
        <v/>
      </c>
      <c r="Q160" s="2" t="str">
        <f t="shared" si="14"/>
        <v/>
      </c>
      <c r="R160" s="156" t="str">
        <f t="shared" si="17"/>
        <v/>
      </c>
    </row>
    <row r="161" spans="1:18" x14ac:dyDescent="0.3">
      <c r="A161">
        <f t="shared" si="15"/>
        <v>0</v>
      </c>
      <c r="B161" t="str">
        <f>H161&amp;" "&amp;COUNTIFS($H$3:H161,H161)</f>
        <v xml:space="preserve"> 0</v>
      </c>
      <c r="C161" s="34"/>
      <c r="D161" s="32"/>
      <c r="E161" s="32"/>
      <c r="F161" s="32"/>
      <c r="G161" s="32"/>
      <c r="H161" s="32"/>
      <c r="I161" s="105" t="str">
        <f t="shared" si="16"/>
        <v/>
      </c>
      <c r="J161" s="45"/>
      <c r="K161" s="45"/>
      <c r="L161" s="33"/>
      <c r="M161" s="32"/>
      <c r="N161" s="47"/>
      <c r="O161" s="88"/>
      <c r="P161" s="2" t="str">
        <f t="shared" si="13"/>
        <v/>
      </c>
      <c r="Q161" s="2" t="str">
        <f t="shared" si="14"/>
        <v/>
      </c>
      <c r="R161" s="156" t="str">
        <f t="shared" si="17"/>
        <v/>
      </c>
    </row>
    <row r="162" spans="1:18" x14ac:dyDescent="0.3">
      <c r="A162">
        <f t="shared" si="15"/>
        <v>0</v>
      </c>
      <c r="B162" t="str">
        <f>H162&amp;" "&amp;COUNTIFS($H$3:H162,H162)</f>
        <v xml:space="preserve"> 0</v>
      </c>
      <c r="C162" s="34"/>
      <c r="D162" s="32"/>
      <c r="E162" s="32"/>
      <c r="F162" s="32"/>
      <c r="G162" s="32"/>
      <c r="H162" s="32"/>
      <c r="I162" s="105" t="str">
        <f t="shared" si="16"/>
        <v/>
      </c>
      <c r="J162" s="45"/>
      <c r="K162" s="45"/>
      <c r="L162" s="33"/>
      <c r="M162" s="32"/>
      <c r="N162" s="47"/>
      <c r="O162" s="88"/>
      <c r="P162" s="2" t="str">
        <f t="shared" si="13"/>
        <v/>
      </c>
      <c r="Q162" s="2" t="str">
        <f t="shared" si="14"/>
        <v/>
      </c>
      <c r="R162" s="156" t="str">
        <f t="shared" si="17"/>
        <v/>
      </c>
    </row>
    <row r="163" spans="1:18" x14ac:dyDescent="0.3">
      <c r="A163">
        <f t="shared" si="15"/>
        <v>0</v>
      </c>
      <c r="B163" t="str">
        <f>H163&amp;" "&amp;COUNTIFS($H$3:H163,H163)</f>
        <v xml:space="preserve"> 0</v>
      </c>
      <c r="C163" s="34"/>
      <c r="D163" s="32"/>
      <c r="E163" s="32"/>
      <c r="F163" s="32"/>
      <c r="G163" s="32"/>
      <c r="H163" s="32"/>
      <c r="I163" s="105" t="str">
        <f t="shared" si="16"/>
        <v/>
      </c>
      <c r="J163" s="45"/>
      <c r="K163" s="45"/>
      <c r="L163" s="33"/>
      <c r="M163" s="32"/>
      <c r="N163" s="47"/>
      <c r="O163" s="88"/>
      <c r="P163" s="2" t="str">
        <f t="shared" si="13"/>
        <v/>
      </c>
      <c r="Q163" s="2" t="str">
        <f t="shared" si="14"/>
        <v/>
      </c>
      <c r="R163" s="156" t="str">
        <f t="shared" si="17"/>
        <v/>
      </c>
    </row>
    <row r="164" spans="1:18" x14ac:dyDescent="0.3">
      <c r="A164">
        <f t="shared" si="15"/>
        <v>0</v>
      </c>
      <c r="B164" t="str">
        <f>H164&amp;" "&amp;COUNTIFS($H$3:H164,H164)</f>
        <v xml:space="preserve"> 0</v>
      </c>
      <c r="C164" s="34"/>
      <c r="D164" s="32"/>
      <c r="E164" s="32"/>
      <c r="F164" s="32"/>
      <c r="G164" s="32"/>
      <c r="H164" s="32"/>
      <c r="I164" s="105" t="str">
        <f t="shared" si="16"/>
        <v/>
      </c>
      <c r="J164" s="45"/>
      <c r="K164" s="45"/>
      <c r="L164" s="33"/>
      <c r="M164" s="32"/>
      <c r="N164" s="47"/>
      <c r="O164" s="88"/>
      <c r="P164" s="2" t="str">
        <f t="shared" si="13"/>
        <v/>
      </c>
      <c r="Q164" s="2" t="str">
        <f t="shared" si="14"/>
        <v/>
      </c>
      <c r="R164" s="156" t="str">
        <f t="shared" si="17"/>
        <v/>
      </c>
    </row>
    <row r="165" spans="1:18" x14ac:dyDescent="0.3">
      <c r="A165">
        <f t="shared" si="15"/>
        <v>0</v>
      </c>
      <c r="B165" t="str">
        <f>H165&amp;" "&amp;COUNTIFS($H$3:H165,H165)</f>
        <v xml:space="preserve"> 0</v>
      </c>
      <c r="C165" s="34"/>
      <c r="D165" s="32"/>
      <c r="E165" s="32"/>
      <c r="F165" s="32"/>
      <c r="G165" s="32"/>
      <c r="H165" s="32"/>
      <c r="I165" s="105" t="str">
        <f t="shared" si="16"/>
        <v/>
      </c>
      <c r="J165" s="45"/>
      <c r="K165" s="45"/>
      <c r="L165" s="33"/>
      <c r="M165" s="32"/>
      <c r="N165" s="47"/>
      <c r="O165" s="88"/>
      <c r="P165" s="2" t="str">
        <f t="shared" si="13"/>
        <v/>
      </c>
      <c r="Q165" s="2" t="str">
        <f t="shared" si="14"/>
        <v/>
      </c>
      <c r="R165" s="156" t="str">
        <f t="shared" si="17"/>
        <v/>
      </c>
    </row>
    <row r="166" spans="1:18" x14ac:dyDescent="0.3">
      <c r="A166">
        <f t="shared" si="15"/>
        <v>0</v>
      </c>
      <c r="B166" t="str">
        <f>H166&amp;" "&amp;COUNTIFS($H$3:H166,H166)</f>
        <v xml:space="preserve"> 0</v>
      </c>
      <c r="C166" s="34"/>
      <c r="D166" s="32"/>
      <c r="E166" s="32"/>
      <c r="F166" s="32"/>
      <c r="G166" s="32"/>
      <c r="H166" s="32"/>
      <c r="I166" s="105" t="str">
        <f t="shared" si="16"/>
        <v/>
      </c>
      <c r="J166" s="45"/>
      <c r="K166" s="45"/>
      <c r="L166" s="33"/>
      <c r="M166" s="32"/>
      <c r="N166" s="47"/>
      <c r="O166" s="88"/>
      <c r="P166" s="2" t="str">
        <f t="shared" si="13"/>
        <v/>
      </c>
      <c r="Q166" s="2" t="str">
        <f t="shared" si="14"/>
        <v/>
      </c>
      <c r="R166" s="156" t="str">
        <f t="shared" si="17"/>
        <v/>
      </c>
    </row>
    <row r="167" spans="1:18" x14ac:dyDescent="0.3">
      <c r="A167">
        <f t="shared" si="15"/>
        <v>0</v>
      </c>
      <c r="B167" t="str">
        <f>H167&amp;" "&amp;COUNTIFS($H$3:H167,H167)</f>
        <v xml:space="preserve"> 0</v>
      </c>
      <c r="C167" s="34"/>
      <c r="D167" s="32"/>
      <c r="E167" s="32"/>
      <c r="F167" s="32"/>
      <c r="G167" s="32"/>
      <c r="H167" s="32"/>
      <c r="I167" s="105" t="str">
        <f t="shared" si="16"/>
        <v/>
      </c>
      <c r="J167" s="45"/>
      <c r="K167" s="45"/>
      <c r="L167" s="33"/>
      <c r="M167" s="32"/>
      <c r="N167" s="47"/>
      <c r="O167" s="88"/>
      <c r="P167" s="2" t="str">
        <f t="shared" si="13"/>
        <v/>
      </c>
      <c r="Q167" s="2" t="str">
        <f t="shared" si="14"/>
        <v/>
      </c>
      <c r="R167" s="156" t="str">
        <f t="shared" si="17"/>
        <v/>
      </c>
    </row>
    <row r="168" spans="1:18" x14ac:dyDescent="0.3">
      <c r="A168">
        <f t="shared" si="15"/>
        <v>0</v>
      </c>
      <c r="B168" t="str">
        <f>H168&amp;" "&amp;COUNTIFS($H$3:H168,H168)</f>
        <v xml:space="preserve"> 0</v>
      </c>
      <c r="C168" s="34"/>
      <c r="D168" s="32"/>
      <c r="E168" s="32"/>
      <c r="F168" s="32"/>
      <c r="G168" s="32"/>
      <c r="H168" s="32"/>
      <c r="I168" s="105" t="str">
        <f t="shared" si="16"/>
        <v/>
      </c>
      <c r="J168" s="45"/>
      <c r="K168" s="45"/>
      <c r="L168" s="33"/>
      <c r="M168" s="32"/>
      <c r="N168" s="47"/>
      <c r="O168" s="88"/>
      <c r="P168" s="2" t="str">
        <f t="shared" si="13"/>
        <v/>
      </c>
      <c r="Q168" s="2" t="str">
        <f t="shared" si="14"/>
        <v/>
      </c>
      <c r="R168" s="156" t="str">
        <f t="shared" si="17"/>
        <v/>
      </c>
    </row>
    <row r="169" spans="1:18" x14ac:dyDescent="0.3">
      <c r="A169">
        <f t="shared" si="15"/>
        <v>0</v>
      </c>
      <c r="B169" t="str">
        <f>H169&amp;" "&amp;COUNTIFS($H$3:H169,H169)</f>
        <v xml:space="preserve"> 0</v>
      </c>
      <c r="C169" s="34"/>
      <c r="D169" s="32"/>
      <c r="E169" s="32"/>
      <c r="F169" s="32"/>
      <c r="G169" s="32"/>
      <c r="H169" s="32"/>
      <c r="I169" s="105" t="str">
        <f t="shared" si="16"/>
        <v/>
      </c>
      <c r="J169" s="45"/>
      <c r="K169" s="45"/>
      <c r="L169" s="33"/>
      <c r="M169" s="32"/>
      <c r="N169" s="47"/>
      <c r="O169" s="88"/>
      <c r="P169" s="2" t="str">
        <f t="shared" si="13"/>
        <v/>
      </c>
      <c r="Q169" s="2" t="str">
        <f t="shared" si="14"/>
        <v/>
      </c>
      <c r="R169" s="156" t="str">
        <f t="shared" si="17"/>
        <v/>
      </c>
    </row>
    <row r="170" spans="1:18" x14ac:dyDescent="0.3">
      <c r="A170">
        <f t="shared" si="15"/>
        <v>0</v>
      </c>
      <c r="B170" t="str">
        <f>H170&amp;" "&amp;COUNTIFS($H$3:H170,H170)</f>
        <v xml:space="preserve"> 0</v>
      </c>
      <c r="C170" s="34"/>
      <c r="D170" s="32"/>
      <c r="E170" s="32"/>
      <c r="F170" s="32"/>
      <c r="G170" s="32"/>
      <c r="H170" s="32"/>
      <c r="I170" s="105" t="str">
        <f t="shared" si="16"/>
        <v/>
      </c>
      <c r="J170" s="45"/>
      <c r="K170" s="45"/>
      <c r="L170" s="33"/>
      <c r="M170" s="32"/>
      <c r="N170" s="47"/>
      <c r="O170" s="88"/>
      <c r="P170" s="2" t="str">
        <f t="shared" si="13"/>
        <v/>
      </c>
      <c r="Q170" s="2" t="str">
        <f t="shared" si="14"/>
        <v/>
      </c>
      <c r="R170" s="156" t="str">
        <f t="shared" si="17"/>
        <v/>
      </c>
    </row>
    <row r="171" spans="1:18" x14ac:dyDescent="0.3">
      <c r="A171">
        <f t="shared" si="15"/>
        <v>0</v>
      </c>
      <c r="B171" t="str">
        <f>H171&amp;" "&amp;COUNTIFS($H$3:H171,H171)</f>
        <v xml:space="preserve"> 0</v>
      </c>
      <c r="C171" s="34"/>
      <c r="D171" s="32"/>
      <c r="E171" s="32"/>
      <c r="F171" s="32"/>
      <c r="G171" s="32"/>
      <c r="H171" s="32"/>
      <c r="I171" s="105" t="str">
        <f t="shared" si="16"/>
        <v/>
      </c>
      <c r="J171" s="45"/>
      <c r="K171" s="45"/>
      <c r="L171" s="33"/>
      <c r="M171" s="32"/>
      <c r="N171" s="47"/>
      <c r="O171" s="88"/>
      <c r="P171" s="2" t="str">
        <f t="shared" si="13"/>
        <v/>
      </c>
      <c r="Q171" s="2" t="str">
        <f t="shared" si="14"/>
        <v/>
      </c>
      <c r="R171" s="156" t="str">
        <f t="shared" si="17"/>
        <v/>
      </c>
    </row>
    <row r="172" spans="1:18" x14ac:dyDescent="0.3">
      <c r="A172">
        <f t="shared" si="15"/>
        <v>0</v>
      </c>
      <c r="B172" t="str">
        <f>H172&amp;" "&amp;COUNTIFS($H$3:H172,H172)</f>
        <v xml:space="preserve"> 0</v>
      </c>
      <c r="C172" s="34"/>
      <c r="D172" s="32"/>
      <c r="E172" s="32"/>
      <c r="F172" s="32"/>
      <c r="G172" s="32"/>
      <c r="H172" s="32"/>
      <c r="I172" s="105" t="str">
        <f t="shared" si="16"/>
        <v/>
      </c>
      <c r="J172" s="45"/>
      <c r="K172" s="45"/>
      <c r="L172" s="33"/>
      <c r="M172" s="32"/>
      <c r="N172" s="47"/>
      <c r="O172" s="88"/>
      <c r="P172" s="2" t="str">
        <f t="shared" si="13"/>
        <v/>
      </c>
      <c r="Q172" s="2" t="str">
        <f t="shared" si="14"/>
        <v/>
      </c>
      <c r="R172" s="156" t="str">
        <f t="shared" si="17"/>
        <v/>
      </c>
    </row>
    <row r="173" spans="1:18" x14ac:dyDescent="0.3">
      <c r="A173">
        <f t="shared" si="15"/>
        <v>0</v>
      </c>
      <c r="B173" t="str">
        <f>H173&amp;" "&amp;COUNTIFS($H$3:H173,H173)</f>
        <v xml:space="preserve"> 0</v>
      </c>
      <c r="C173" s="34"/>
      <c r="D173" s="32"/>
      <c r="E173" s="32"/>
      <c r="F173" s="32"/>
      <c r="G173" s="32"/>
      <c r="H173" s="32"/>
      <c r="I173" s="105" t="str">
        <f t="shared" si="16"/>
        <v/>
      </c>
      <c r="J173" s="45"/>
      <c r="K173" s="45"/>
      <c r="L173" s="33"/>
      <c r="M173" s="32"/>
      <c r="N173" s="47"/>
      <c r="O173" s="88"/>
      <c r="P173" s="2" t="str">
        <f t="shared" si="13"/>
        <v/>
      </c>
      <c r="Q173" s="2" t="str">
        <f t="shared" si="14"/>
        <v/>
      </c>
      <c r="R173" s="156" t="str">
        <f t="shared" si="17"/>
        <v/>
      </c>
    </row>
    <row r="174" spans="1:18" x14ac:dyDescent="0.3">
      <c r="A174">
        <f t="shared" si="15"/>
        <v>0</v>
      </c>
      <c r="B174" t="str">
        <f>H174&amp;" "&amp;COUNTIFS($H$3:H174,H174)</f>
        <v xml:space="preserve"> 0</v>
      </c>
      <c r="C174" s="34"/>
      <c r="D174" s="32"/>
      <c r="E174" s="32"/>
      <c r="F174" s="32"/>
      <c r="G174" s="32"/>
      <c r="H174" s="32"/>
      <c r="I174" s="105" t="str">
        <f t="shared" si="16"/>
        <v/>
      </c>
      <c r="J174" s="45"/>
      <c r="K174" s="45"/>
      <c r="L174" s="33"/>
      <c r="M174" s="32"/>
      <c r="N174" s="47"/>
      <c r="O174" s="88"/>
      <c r="P174" s="2" t="str">
        <f t="shared" si="13"/>
        <v/>
      </c>
      <c r="Q174" s="2" t="str">
        <f t="shared" si="14"/>
        <v/>
      </c>
      <c r="R174" s="156" t="str">
        <f t="shared" si="17"/>
        <v/>
      </c>
    </row>
    <row r="175" spans="1:18" x14ac:dyDescent="0.3">
      <c r="A175">
        <f t="shared" si="15"/>
        <v>0</v>
      </c>
      <c r="B175" t="str">
        <f>H175&amp;" "&amp;COUNTIFS($H$3:H175,H175)</f>
        <v xml:space="preserve"> 0</v>
      </c>
      <c r="C175" s="34"/>
      <c r="D175" s="32"/>
      <c r="E175" s="32"/>
      <c r="F175" s="32"/>
      <c r="G175" s="32"/>
      <c r="H175" s="32"/>
      <c r="I175" s="105" t="str">
        <f t="shared" si="16"/>
        <v/>
      </c>
      <c r="J175" s="45"/>
      <c r="K175" s="45"/>
      <c r="L175" s="33"/>
      <c r="M175" s="32"/>
      <c r="N175" s="47"/>
      <c r="O175" s="88"/>
      <c r="P175" s="2" t="str">
        <f t="shared" si="13"/>
        <v/>
      </c>
      <c r="Q175" s="2" t="str">
        <f t="shared" si="14"/>
        <v/>
      </c>
      <c r="R175" s="156" t="str">
        <f t="shared" si="17"/>
        <v/>
      </c>
    </row>
    <row r="176" spans="1:18" x14ac:dyDescent="0.3">
      <c r="A176">
        <f t="shared" si="15"/>
        <v>0</v>
      </c>
      <c r="B176" t="str">
        <f>H176&amp;" "&amp;COUNTIFS($H$3:H176,H176)</f>
        <v xml:space="preserve"> 0</v>
      </c>
      <c r="C176" s="34"/>
      <c r="D176" s="32"/>
      <c r="E176" s="32"/>
      <c r="F176" s="32"/>
      <c r="G176" s="32"/>
      <c r="H176" s="32"/>
      <c r="I176" s="105" t="str">
        <f t="shared" si="16"/>
        <v/>
      </c>
      <c r="J176" s="45"/>
      <c r="K176" s="45"/>
      <c r="L176" s="33"/>
      <c r="M176" s="32"/>
      <c r="N176" s="47"/>
      <c r="O176" s="88"/>
      <c r="P176" s="2" t="str">
        <f t="shared" si="13"/>
        <v/>
      </c>
      <c r="Q176" s="2" t="str">
        <f t="shared" si="14"/>
        <v/>
      </c>
      <c r="R176" s="156" t="str">
        <f t="shared" si="17"/>
        <v/>
      </c>
    </row>
    <row r="177" spans="1:18" x14ac:dyDescent="0.3">
      <c r="A177">
        <f t="shared" si="15"/>
        <v>0</v>
      </c>
      <c r="B177" t="str">
        <f>H177&amp;" "&amp;COUNTIFS($H$3:H177,H177)</f>
        <v xml:space="preserve"> 0</v>
      </c>
      <c r="C177" s="34"/>
      <c r="D177" s="32"/>
      <c r="E177" s="32"/>
      <c r="F177" s="32"/>
      <c r="G177" s="32"/>
      <c r="H177" s="32"/>
      <c r="I177" s="105" t="str">
        <f t="shared" si="16"/>
        <v/>
      </c>
      <c r="J177" s="45"/>
      <c r="K177" s="45"/>
      <c r="L177" s="33"/>
      <c r="M177" s="32"/>
      <c r="N177" s="47"/>
      <c r="O177" s="88"/>
      <c r="P177" s="2" t="str">
        <f t="shared" si="13"/>
        <v/>
      </c>
      <c r="Q177" s="2" t="str">
        <f t="shared" si="14"/>
        <v/>
      </c>
      <c r="R177" s="156" t="str">
        <f t="shared" si="17"/>
        <v/>
      </c>
    </row>
    <row r="178" spans="1:18" x14ac:dyDescent="0.3">
      <c r="A178">
        <f t="shared" si="15"/>
        <v>0</v>
      </c>
      <c r="B178" t="str">
        <f>H178&amp;" "&amp;COUNTIFS($H$3:H178,H178)</f>
        <v xml:space="preserve"> 0</v>
      </c>
      <c r="C178" s="34"/>
      <c r="D178" s="32"/>
      <c r="E178" s="32"/>
      <c r="F178" s="32"/>
      <c r="G178" s="32"/>
      <c r="H178" s="32"/>
      <c r="I178" s="105" t="str">
        <f t="shared" si="16"/>
        <v/>
      </c>
      <c r="J178" s="45"/>
      <c r="K178" s="45"/>
      <c r="L178" s="33"/>
      <c r="M178" s="32"/>
      <c r="N178" s="47"/>
      <c r="O178" s="88"/>
      <c r="P178" s="2" t="str">
        <f t="shared" si="13"/>
        <v/>
      </c>
      <c r="Q178" s="2" t="str">
        <f t="shared" si="14"/>
        <v/>
      </c>
      <c r="R178" s="156" t="str">
        <f t="shared" si="17"/>
        <v/>
      </c>
    </row>
    <row r="179" spans="1:18" x14ac:dyDescent="0.3">
      <c r="A179">
        <f t="shared" si="15"/>
        <v>0</v>
      </c>
      <c r="B179" t="str">
        <f>H179&amp;" "&amp;COUNTIFS($H$3:H179,H179)</f>
        <v xml:space="preserve"> 0</v>
      </c>
      <c r="C179" s="34"/>
      <c r="D179" s="32"/>
      <c r="E179" s="32"/>
      <c r="F179" s="32"/>
      <c r="G179" s="32"/>
      <c r="H179" s="32"/>
      <c r="I179" s="105" t="str">
        <f t="shared" si="16"/>
        <v/>
      </c>
      <c r="J179" s="45"/>
      <c r="K179" s="45"/>
      <c r="L179" s="33"/>
      <c r="M179" s="32"/>
      <c r="N179" s="47"/>
      <c r="O179" s="88"/>
      <c r="P179" s="2" t="str">
        <f t="shared" si="13"/>
        <v/>
      </c>
      <c r="Q179" s="2" t="str">
        <f t="shared" si="14"/>
        <v/>
      </c>
      <c r="R179" s="156" t="str">
        <f t="shared" si="17"/>
        <v/>
      </c>
    </row>
    <row r="180" spans="1:18" x14ac:dyDescent="0.3">
      <c r="A180">
        <f t="shared" si="15"/>
        <v>0</v>
      </c>
      <c r="B180" t="str">
        <f>H180&amp;" "&amp;COUNTIFS($H$3:H180,H180)</f>
        <v xml:space="preserve"> 0</v>
      </c>
      <c r="C180" s="34"/>
      <c r="D180" s="32"/>
      <c r="E180" s="32"/>
      <c r="F180" s="32"/>
      <c r="G180" s="32"/>
      <c r="H180" s="32"/>
      <c r="I180" s="105" t="str">
        <f t="shared" si="16"/>
        <v/>
      </c>
      <c r="J180" s="45"/>
      <c r="K180" s="45"/>
      <c r="L180" s="33"/>
      <c r="M180" s="32"/>
      <c r="N180" s="47"/>
      <c r="O180" s="88"/>
      <c r="P180" s="2" t="str">
        <f t="shared" si="13"/>
        <v/>
      </c>
      <c r="Q180" s="2" t="str">
        <f t="shared" si="14"/>
        <v/>
      </c>
      <c r="R180" s="156" t="str">
        <f t="shared" si="17"/>
        <v/>
      </c>
    </row>
    <row r="181" spans="1:18" x14ac:dyDescent="0.3">
      <c r="A181">
        <f t="shared" si="15"/>
        <v>0</v>
      </c>
      <c r="B181" t="str">
        <f>H181&amp;" "&amp;COUNTIFS($H$3:H181,H181)</f>
        <v xml:space="preserve"> 0</v>
      </c>
      <c r="C181" s="34"/>
      <c r="D181" s="32"/>
      <c r="E181" s="32"/>
      <c r="F181" s="32"/>
      <c r="G181" s="32"/>
      <c r="H181" s="32"/>
      <c r="I181" s="105" t="str">
        <f t="shared" si="16"/>
        <v/>
      </c>
      <c r="J181" s="45"/>
      <c r="K181" s="45"/>
      <c r="L181" s="33"/>
      <c r="M181" s="32"/>
      <c r="N181" s="47"/>
      <c r="O181" s="88"/>
      <c r="P181" s="2" t="str">
        <f t="shared" si="13"/>
        <v/>
      </c>
      <c r="Q181" s="2" t="str">
        <f t="shared" si="14"/>
        <v/>
      </c>
      <c r="R181" s="156" t="str">
        <f t="shared" si="17"/>
        <v/>
      </c>
    </row>
    <row r="182" spans="1:18" x14ac:dyDescent="0.3">
      <c r="A182">
        <f t="shared" si="15"/>
        <v>0</v>
      </c>
      <c r="B182" t="str">
        <f>H182&amp;" "&amp;COUNTIFS($H$3:H182,H182)</f>
        <v xml:space="preserve"> 0</v>
      </c>
      <c r="C182" s="34"/>
      <c r="D182" s="32"/>
      <c r="E182" s="32"/>
      <c r="F182" s="32"/>
      <c r="G182" s="32"/>
      <c r="H182" s="32"/>
      <c r="I182" s="105" t="str">
        <f t="shared" si="16"/>
        <v/>
      </c>
      <c r="J182" s="45"/>
      <c r="K182" s="45"/>
      <c r="L182" s="33"/>
      <c r="M182" s="32"/>
      <c r="N182" s="47"/>
      <c r="O182" s="88"/>
      <c r="P182" s="2" t="str">
        <f t="shared" si="13"/>
        <v/>
      </c>
      <c r="Q182" s="2" t="str">
        <f t="shared" si="14"/>
        <v/>
      </c>
      <c r="R182" s="156" t="str">
        <f t="shared" si="17"/>
        <v/>
      </c>
    </row>
    <row r="183" spans="1:18" x14ac:dyDescent="0.3">
      <c r="A183">
        <f t="shared" si="15"/>
        <v>0</v>
      </c>
      <c r="B183" t="str">
        <f>H183&amp;" "&amp;COUNTIFS($H$3:H183,H183)</f>
        <v xml:space="preserve"> 0</v>
      </c>
      <c r="C183" s="34"/>
      <c r="D183" s="32"/>
      <c r="E183" s="32"/>
      <c r="F183" s="32"/>
      <c r="G183" s="32"/>
      <c r="H183" s="32"/>
      <c r="I183" s="105" t="str">
        <f t="shared" si="16"/>
        <v/>
      </c>
      <c r="J183" s="45"/>
      <c r="K183" s="45"/>
      <c r="L183" s="33"/>
      <c r="M183" s="32"/>
      <c r="N183" s="47"/>
      <c r="O183" s="88"/>
      <c r="P183" s="2" t="str">
        <f t="shared" si="13"/>
        <v/>
      </c>
      <c r="Q183" s="2" t="str">
        <f t="shared" si="14"/>
        <v/>
      </c>
      <c r="R183" s="156" t="str">
        <f t="shared" si="17"/>
        <v/>
      </c>
    </row>
    <row r="184" spans="1:18" x14ac:dyDescent="0.3">
      <c r="A184">
        <f t="shared" si="15"/>
        <v>0</v>
      </c>
      <c r="B184" t="str">
        <f>H184&amp;" "&amp;COUNTIFS($H$3:H184,H184)</f>
        <v xml:space="preserve"> 0</v>
      </c>
      <c r="C184" s="34"/>
      <c r="D184" s="32"/>
      <c r="E184" s="32"/>
      <c r="F184" s="32"/>
      <c r="G184" s="32"/>
      <c r="H184" s="32"/>
      <c r="I184" s="105" t="str">
        <f t="shared" si="16"/>
        <v/>
      </c>
      <c r="J184" s="45"/>
      <c r="K184" s="45"/>
      <c r="L184" s="33"/>
      <c r="M184" s="32"/>
      <c r="N184" s="47"/>
      <c r="O184" s="88"/>
      <c r="P184" s="2" t="str">
        <f t="shared" si="13"/>
        <v/>
      </c>
      <c r="Q184" s="2" t="str">
        <f t="shared" si="14"/>
        <v/>
      </c>
      <c r="R184" s="156" t="str">
        <f t="shared" si="17"/>
        <v/>
      </c>
    </row>
    <row r="185" spans="1:18" x14ac:dyDescent="0.3">
      <c r="A185">
        <f t="shared" si="15"/>
        <v>0</v>
      </c>
      <c r="B185" t="str">
        <f>H185&amp;" "&amp;COUNTIFS($H$3:H185,H185)</f>
        <v xml:space="preserve"> 0</v>
      </c>
      <c r="C185" s="34"/>
      <c r="D185" s="32"/>
      <c r="E185" s="32"/>
      <c r="F185" s="32"/>
      <c r="G185" s="32"/>
      <c r="H185" s="32"/>
      <c r="I185" s="105" t="str">
        <f t="shared" si="16"/>
        <v/>
      </c>
      <c r="J185" s="45"/>
      <c r="K185" s="45"/>
      <c r="L185" s="33"/>
      <c r="M185" s="32"/>
      <c r="N185" s="47"/>
      <c r="O185" s="88"/>
      <c r="P185" s="2" t="str">
        <f t="shared" si="13"/>
        <v/>
      </c>
      <c r="Q185" s="2" t="str">
        <f t="shared" si="14"/>
        <v/>
      </c>
      <c r="R185" s="156" t="str">
        <f t="shared" si="17"/>
        <v/>
      </c>
    </row>
    <row r="186" spans="1:18" x14ac:dyDescent="0.3">
      <c r="A186">
        <f t="shared" si="15"/>
        <v>0</v>
      </c>
      <c r="B186" t="str">
        <f>H186&amp;" "&amp;COUNTIFS($H$3:H186,H186)</f>
        <v xml:space="preserve"> 0</v>
      </c>
      <c r="C186" s="34"/>
      <c r="D186" s="32"/>
      <c r="E186" s="32"/>
      <c r="F186" s="32"/>
      <c r="G186" s="32"/>
      <c r="H186" s="32"/>
      <c r="I186" s="105" t="str">
        <f t="shared" si="16"/>
        <v/>
      </c>
      <c r="J186" s="45"/>
      <c r="K186" s="45"/>
      <c r="L186" s="33"/>
      <c r="M186" s="32"/>
      <c r="N186" s="47"/>
      <c r="O186" s="88"/>
      <c r="P186" s="2" t="str">
        <f t="shared" si="13"/>
        <v/>
      </c>
      <c r="Q186" s="2" t="str">
        <f t="shared" si="14"/>
        <v/>
      </c>
      <c r="R186" s="156" t="str">
        <f t="shared" si="17"/>
        <v/>
      </c>
    </row>
    <row r="187" spans="1:18" x14ac:dyDescent="0.3">
      <c r="A187">
        <f t="shared" si="15"/>
        <v>0</v>
      </c>
      <c r="B187" t="str">
        <f>H187&amp;" "&amp;COUNTIFS($H$3:H187,H187)</f>
        <v xml:space="preserve"> 0</v>
      </c>
      <c r="C187" s="34"/>
      <c r="D187" s="32"/>
      <c r="E187" s="32"/>
      <c r="F187" s="32"/>
      <c r="G187" s="32"/>
      <c r="H187" s="32"/>
      <c r="I187" s="105" t="str">
        <f t="shared" si="16"/>
        <v/>
      </c>
      <c r="J187" s="45"/>
      <c r="K187" s="45"/>
      <c r="L187" s="33"/>
      <c r="M187" s="32"/>
      <c r="N187" s="47"/>
      <c r="O187" s="88"/>
      <c r="P187" s="2" t="str">
        <f t="shared" si="13"/>
        <v/>
      </c>
      <c r="Q187" s="2" t="str">
        <f t="shared" si="14"/>
        <v/>
      </c>
      <c r="R187" s="156" t="str">
        <f t="shared" si="17"/>
        <v/>
      </c>
    </row>
    <row r="188" spans="1:18" x14ac:dyDescent="0.3">
      <c r="A188">
        <f t="shared" si="15"/>
        <v>0</v>
      </c>
      <c r="B188" t="str">
        <f>H188&amp;" "&amp;COUNTIFS($H$3:H188,H188)</f>
        <v xml:space="preserve"> 0</v>
      </c>
      <c r="C188" s="34"/>
      <c r="D188" s="32"/>
      <c r="E188" s="32"/>
      <c r="F188" s="32"/>
      <c r="G188" s="32"/>
      <c r="H188" s="32"/>
      <c r="I188" s="105" t="str">
        <f t="shared" si="16"/>
        <v/>
      </c>
      <c r="J188" s="45"/>
      <c r="K188" s="45"/>
      <c r="L188" s="33"/>
      <c r="M188" s="32"/>
      <c r="N188" s="47"/>
      <c r="O188" s="88"/>
      <c r="P188" s="2" t="str">
        <f t="shared" si="13"/>
        <v/>
      </c>
      <c r="Q188" s="2" t="str">
        <f t="shared" si="14"/>
        <v/>
      </c>
      <c r="R188" s="156" t="str">
        <f t="shared" si="17"/>
        <v/>
      </c>
    </row>
    <row r="189" spans="1:18" x14ac:dyDescent="0.3">
      <c r="A189">
        <f t="shared" si="15"/>
        <v>0</v>
      </c>
      <c r="B189" t="str">
        <f>H189&amp;" "&amp;COUNTIFS($H$3:H189,H189)</f>
        <v xml:space="preserve"> 0</v>
      </c>
      <c r="C189" s="34"/>
      <c r="D189" s="32"/>
      <c r="E189" s="32"/>
      <c r="F189" s="32"/>
      <c r="G189" s="32"/>
      <c r="H189" s="32"/>
      <c r="I189" s="105" t="str">
        <f t="shared" si="16"/>
        <v/>
      </c>
      <c r="J189" s="45"/>
      <c r="K189" s="45"/>
      <c r="L189" s="33"/>
      <c r="M189" s="32"/>
      <c r="N189" s="47"/>
      <c r="O189" s="88"/>
      <c r="P189" s="2" t="str">
        <f t="shared" si="13"/>
        <v/>
      </c>
      <c r="Q189" s="2" t="str">
        <f t="shared" si="14"/>
        <v/>
      </c>
      <c r="R189" s="156" t="str">
        <f t="shared" si="17"/>
        <v/>
      </c>
    </row>
    <row r="190" spans="1:18" x14ac:dyDescent="0.3">
      <c r="A190">
        <f t="shared" si="15"/>
        <v>0</v>
      </c>
      <c r="B190" t="str">
        <f>H190&amp;" "&amp;COUNTIFS($H$3:H190,H190)</f>
        <v xml:space="preserve"> 0</v>
      </c>
      <c r="C190" s="34"/>
      <c r="D190" s="32"/>
      <c r="E190" s="32"/>
      <c r="F190" s="32"/>
      <c r="G190" s="32"/>
      <c r="H190" s="32"/>
      <c r="I190" s="105" t="str">
        <f t="shared" si="16"/>
        <v/>
      </c>
      <c r="J190" s="45"/>
      <c r="K190" s="45"/>
      <c r="L190" s="33"/>
      <c r="M190" s="32"/>
      <c r="N190" s="47"/>
      <c r="O190" s="88"/>
      <c r="P190" s="2" t="str">
        <f t="shared" si="13"/>
        <v/>
      </c>
      <c r="Q190" s="2" t="str">
        <f t="shared" si="14"/>
        <v/>
      </c>
      <c r="R190" s="156" t="str">
        <f t="shared" si="17"/>
        <v/>
      </c>
    </row>
    <row r="191" spans="1:18" x14ac:dyDescent="0.3">
      <c r="A191">
        <f t="shared" si="15"/>
        <v>0</v>
      </c>
      <c r="B191" t="str">
        <f>H191&amp;" "&amp;COUNTIFS($H$3:H191,H191)</f>
        <v xml:space="preserve"> 0</v>
      </c>
      <c r="C191" s="34"/>
      <c r="D191" s="32"/>
      <c r="E191" s="32"/>
      <c r="F191" s="32"/>
      <c r="G191" s="32"/>
      <c r="H191" s="32"/>
      <c r="I191" s="105" t="str">
        <f t="shared" si="16"/>
        <v/>
      </c>
      <c r="J191" s="45"/>
      <c r="K191" s="45"/>
      <c r="L191" s="33"/>
      <c r="M191" s="32"/>
      <c r="N191" s="47"/>
      <c r="O191" s="88"/>
      <c r="P191" s="2" t="str">
        <f t="shared" si="13"/>
        <v/>
      </c>
      <c r="Q191" s="2" t="str">
        <f t="shared" si="14"/>
        <v/>
      </c>
      <c r="R191" s="156" t="str">
        <f t="shared" si="17"/>
        <v/>
      </c>
    </row>
    <row r="192" spans="1:18" x14ac:dyDescent="0.3">
      <c r="A192">
        <f t="shared" si="15"/>
        <v>0</v>
      </c>
      <c r="B192" t="str">
        <f>H192&amp;" "&amp;COUNTIFS($H$3:H192,H192)</f>
        <v xml:space="preserve"> 0</v>
      </c>
      <c r="C192" s="34"/>
      <c r="D192" s="32"/>
      <c r="E192" s="32"/>
      <c r="F192" s="32"/>
      <c r="G192" s="32"/>
      <c r="H192" s="32"/>
      <c r="I192" s="105" t="str">
        <f t="shared" si="16"/>
        <v/>
      </c>
      <c r="J192" s="45"/>
      <c r="K192" s="45"/>
      <c r="L192" s="33"/>
      <c r="M192" s="32"/>
      <c r="N192" s="47"/>
      <c r="O192" s="88"/>
      <c r="P192" s="2" t="str">
        <f t="shared" si="13"/>
        <v/>
      </c>
      <c r="Q192" s="2" t="str">
        <f t="shared" si="14"/>
        <v/>
      </c>
      <c r="R192" s="156" t="str">
        <f t="shared" si="17"/>
        <v/>
      </c>
    </row>
    <row r="193" spans="1:18" x14ac:dyDescent="0.3">
      <c r="A193">
        <f t="shared" si="15"/>
        <v>0</v>
      </c>
      <c r="B193" t="str">
        <f>H193&amp;" "&amp;COUNTIFS($H$3:H193,H193)</f>
        <v xml:space="preserve"> 0</v>
      </c>
      <c r="C193" s="34"/>
      <c r="D193" s="32"/>
      <c r="E193" s="32"/>
      <c r="F193" s="32"/>
      <c r="G193" s="32"/>
      <c r="H193" s="32"/>
      <c r="I193" s="105" t="str">
        <f t="shared" si="16"/>
        <v/>
      </c>
      <c r="J193" s="45"/>
      <c r="K193" s="45"/>
      <c r="L193" s="33"/>
      <c r="M193" s="32"/>
      <c r="N193" s="47"/>
      <c r="O193" s="88"/>
      <c r="P193" s="2" t="str">
        <f t="shared" si="13"/>
        <v/>
      </c>
      <c r="Q193" s="2" t="str">
        <f t="shared" si="14"/>
        <v/>
      </c>
      <c r="R193" s="156" t="str">
        <f t="shared" si="17"/>
        <v/>
      </c>
    </row>
    <row r="194" spans="1:18" x14ac:dyDescent="0.3">
      <c r="A194">
        <f t="shared" si="15"/>
        <v>0</v>
      </c>
      <c r="B194" t="str">
        <f>H194&amp;" "&amp;COUNTIFS($H$3:H194,H194)</f>
        <v xml:space="preserve"> 0</v>
      </c>
      <c r="C194" s="34"/>
      <c r="D194" s="32"/>
      <c r="E194" s="32"/>
      <c r="F194" s="32"/>
      <c r="G194" s="32"/>
      <c r="H194" s="32"/>
      <c r="I194" s="105" t="str">
        <f t="shared" si="16"/>
        <v/>
      </c>
      <c r="J194" s="45"/>
      <c r="K194" s="45"/>
      <c r="L194" s="33"/>
      <c r="M194" s="32"/>
      <c r="N194" s="47"/>
      <c r="O194" s="88"/>
      <c r="P194" s="2" t="str">
        <f t="shared" si="13"/>
        <v/>
      </c>
      <c r="Q194" s="2" t="str">
        <f t="shared" si="14"/>
        <v/>
      </c>
      <c r="R194" s="156" t="str">
        <f t="shared" si="17"/>
        <v/>
      </c>
    </row>
    <row r="195" spans="1:18" x14ac:dyDescent="0.3">
      <c r="A195">
        <f t="shared" si="15"/>
        <v>0</v>
      </c>
      <c r="B195" t="str">
        <f>H195&amp;" "&amp;COUNTIFS($H$3:H195,H195)</f>
        <v xml:space="preserve"> 0</v>
      </c>
      <c r="C195" s="34"/>
      <c r="D195" s="32"/>
      <c r="E195" s="32"/>
      <c r="F195" s="32"/>
      <c r="G195" s="32"/>
      <c r="H195" s="32"/>
      <c r="I195" s="105" t="str">
        <f t="shared" si="16"/>
        <v/>
      </c>
      <c r="J195" s="45"/>
      <c r="K195" s="45"/>
      <c r="L195" s="33"/>
      <c r="M195" s="32"/>
      <c r="N195" s="47"/>
      <c r="O195" s="88"/>
      <c r="P195" s="2" t="str">
        <f t="shared" ref="P195:P258" si="18">IFERROR(VLOOKUP(O195,DAFTAR_TOKO,2,FALSE),"")</f>
        <v/>
      </c>
      <c r="Q195" s="2" t="str">
        <f t="shared" ref="Q195:Q258" si="19">IFERROR(VLOOKUP(O195,DAFTAR_TOKO,3,FALSE),"")</f>
        <v/>
      </c>
      <c r="R195" s="156" t="str">
        <f t="shared" si="17"/>
        <v/>
      </c>
    </row>
    <row r="196" spans="1:18" x14ac:dyDescent="0.3">
      <c r="A196">
        <f t="shared" ref="A196:A259" si="20">H196</f>
        <v>0</v>
      </c>
      <c r="B196" t="str">
        <f>H196&amp;" "&amp;COUNTIFS($H$3:H196,H196)</f>
        <v xml:space="preserve"> 0</v>
      </c>
      <c r="C196" s="34"/>
      <c r="D196" s="32"/>
      <c r="E196" s="32"/>
      <c r="F196" s="32"/>
      <c r="G196" s="32"/>
      <c r="H196" s="32"/>
      <c r="I196" s="105" t="str">
        <f t="shared" ref="I196:I259" si="21">IF(K196="","",L196/K196)</f>
        <v/>
      </c>
      <c r="J196" s="45"/>
      <c r="K196" s="45"/>
      <c r="L196" s="33"/>
      <c r="M196" s="32"/>
      <c r="N196" s="47"/>
      <c r="O196" s="88"/>
      <c r="P196" s="2" t="str">
        <f t="shared" si="18"/>
        <v/>
      </c>
      <c r="Q196" s="2" t="str">
        <f t="shared" si="19"/>
        <v/>
      </c>
      <c r="R196" s="156" t="str">
        <f t="shared" ref="R196:R259" si="22">IF(C196="","",C196)</f>
        <v/>
      </c>
    </row>
    <row r="197" spans="1:18" x14ac:dyDescent="0.3">
      <c r="A197">
        <f t="shared" si="20"/>
        <v>0</v>
      </c>
      <c r="B197" t="str">
        <f>H197&amp;" "&amp;COUNTIFS($H$3:H197,H197)</f>
        <v xml:space="preserve"> 0</v>
      </c>
      <c r="C197" s="34"/>
      <c r="D197" s="32"/>
      <c r="E197" s="32"/>
      <c r="F197" s="32"/>
      <c r="G197" s="32"/>
      <c r="H197" s="32"/>
      <c r="I197" s="105" t="str">
        <f t="shared" si="21"/>
        <v/>
      </c>
      <c r="J197" s="45"/>
      <c r="K197" s="45"/>
      <c r="L197" s="33"/>
      <c r="M197" s="32"/>
      <c r="N197" s="47"/>
      <c r="O197" s="88"/>
      <c r="P197" s="2" t="str">
        <f t="shared" si="18"/>
        <v/>
      </c>
      <c r="Q197" s="2" t="str">
        <f t="shared" si="19"/>
        <v/>
      </c>
      <c r="R197" s="156" t="str">
        <f t="shared" si="22"/>
        <v/>
      </c>
    </row>
    <row r="198" spans="1:18" x14ac:dyDescent="0.3">
      <c r="A198">
        <f t="shared" si="20"/>
        <v>0</v>
      </c>
      <c r="B198" t="str">
        <f>H198&amp;" "&amp;COUNTIFS($H$3:H198,H198)</f>
        <v xml:space="preserve"> 0</v>
      </c>
      <c r="C198" s="34"/>
      <c r="D198" s="32"/>
      <c r="E198" s="32"/>
      <c r="F198" s="32"/>
      <c r="G198" s="32"/>
      <c r="H198" s="32"/>
      <c r="I198" s="105" t="str">
        <f t="shared" si="21"/>
        <v/>
      </c>
      <c r="J198" s="45"/>
      <c r="K198" s="45"/>
      <c r="L198" s="33"/>
      <c r="M198" s="32"/>
      <c r="N198" s="47"/>
      <c r="O198" s="88"/>
      <c r="P198" s="2" t="str">
        <f t="shared" si="18"/>
        <v/>
      </c>
      <c r="Q198" s="2" t="str">
        <f t="shared" si="19"/>
        <v/>
      </c>
      <c r="R198" s="156" t="str">
        <f t="shared" si="22"/>
        <v/>
      </c>
    </row>
    <row r="199" spans="1:18" x14ac:dyDescent="0.3">
      <c r="A199">
        <f t="shared" si="20"/>
        <v>0</v>
      </c>
      <c r="B199" t="str">
        <f>H199&amp;" "&amp;COUNTIFS($H$3:H199,H199)</f>
        <v xml:space="preserve"> 0</v>
      </c>
      <c r="C199" s="34"/>
      <c r="D199" s="32"/>
      <c r="E199" s="32"/>
      <c r="F199" s="32"/>
      <c r="G199" s="32"/>
      <c r="H199" s="32"/>
      <c r="I199" s="105" t="str">
        <f t="shared" si="21"/>
        <v/>
      </c>
      <c r="J199" s="45"/>
      <c r="K199" s="45"/>
      <c r="L199" s="33"/>
      <c r="M199" s="32"/>
      <c r="N199" s="47"/>
      <c r="O199" s="88"/>
      <c r="P199" s="2" t="str">
        <f t="shared" si="18"/>
        <v/>
      </c>
      <c r="Q199" s="2" t="str">
        <f t="shared" si="19"/>
        <v/>
      </c>
      <c r="R199" s="156" t="str">
        <f t="shared" si="22"/>
        <v/>
      </c>
    </row>
    <row r="200" spans="1:18" x14ac:dyDescent="0.3">
      <c r="A200">
        <f t="shared" si="20"/>
        <v>0</v>
      </c>
      <c r="B200" t="str">
        <f>H200&amp;" "&amp;COUNTIFS($H$3:H200,H200)</f>
        <v xml:space="preserve"> 0</v>
      </c>
      <c r="C200" s="34"/>
      <c r="D200" s="32"/>
      <c r="E200" s="32"/>
      <c r="F200" s="32"/>
      <c r="G200" s="32"/>
      <c r="H200" s="32"/>
      <c r="I200" s="105" t="str">
        <f t="shared" si="21"/>
        <v/>
      </c>
      <c r="J200" s="45"/>
      <c r="K200" s="45"/>
      <c r="L200" s="33"/>
      <c r="M200" s="32"/>
      <c r="N200" s="47"/>
      <c r="O200" s="88"/>
      <c r="P200" s="2" t="str">
        <f t="shared" si="18"/>
        <v/>
      </c>
      <c r="Q200" s="2" t="str">
        <f t="shared" si="19"/>
        <v/>
      </c>
      <c r="R200" s="156" t="str">
        <f t="shared" si="22"/>
        <v/>
      </c>
    </row>
    <row r="201" spans="1:18" x14ac:dyDescent="0.3">
      <c r="A201">
        <f t="shared" si="20"/>
        <v>0</v>
      </c>
      <c r="B201" t="str">
        <f>H201&amp;" "&amp;COUNTIFS($H$3:H201,H201)</f>
        <v xml:space="preserve"> 0</v>
      </c>
      <c r="C201" s="34"/>
      <c r="D201" s="32"/>
      <c r="E201" s="32"/>
      <c r="F201" s="32"/>
      <c r="G201" s="32"/>
      <c r="H201" s="32"/>
      <c r="I201" s="105" t="str">
        <f t="shared" si="21"/>
        <v/>
      </c>
      <c r="J201" s="45"/>
      <c r="K201" s="45"/>
      <c r="L201" s="33"/>
      <c r="M201" s="32"/>
      <c r="N201" s="47"/>
      <c r="O201" s="88"/>
      <c r="P201" s="2" t="str">
        <f t="shared" si="18"/>
        <v/>
      </c>
      <c r="Q201" s="2" t="str">
        <f t="shared" si="19"/>
        <v/>
      </c>
      <c r="R201" s="156" t="str">
        <f t="shared" si="22"/>
        <v/>
      </c>
    </row>
    <row r="202" spans="1:18" x14ac:dyDescent="0.3">
      <c r="A202">
        <f t="shared" si="20"/>
        <v>0</v>
      </c>
      <c r="B202" t="str">
        <f>H202&amp;" "&amp;COUNTIFS($H$3:H202,H202)</f>
        <v xml:space="preserve"> 0</v>
      </c>
      <c r="C202" s="34"/>
      <c r="D202" s="32"/>
      <c r="E202" s="32"/>
      <c r="F202" s="32"/>
      <c r="G202" s="32"/>
      <c r="H202" s="32"/>
      <c r="I202" s="105" t="str">
        <f t="shared" si="21"/>
        <v/>
      </c>
      <c r="J202" s="45"/>
      <c r="K202" s="45"/>
      <c r="L202" s="33"/>
      <c r="M202" s="32"/>
      <c r="N202" s="47"/>
      <c r="O202" s="88"/>
      <c r="P202" s="2" t="str">
        <f t="shared" si="18"/>
        <v/>
      </c>
      <c r="Q202" s="2" t="str">
        <f t="shared" si="19"/>
        <v/>
      </c>
      <c r="R202" s="156" t="str">
        <f t="shared" si="22"/>
        <v/>
      </c>
    </row>
    <row r="203" spans="1:18" x14ac:dyDescent="0.3">
      <c r="A203">
        <f t="shared" si="20"/>
        <v>0</v>
      </c>
      <c r="B203" t="str">
        <f>H203&amp;" "&amp;COUNTIFS($H$3:H203,H203)</f>
        <v xml:space="preserve"> 0</v>
      </c>
      <c r="C203" s="34"/>
      <c r="D203" s="32"/>
      <c r="E203" s="32"/>
      <c r="F203" s="32"/>
      <c r="G203" s="32"/>
      <c r="H203" s="32"/>
      <c r="I203" s="105" t="str">
        <f t="shared" si="21"/>
        <v/>
      </c>
      <c r="J203" s="45"/>
      <c r="K203" s="45"/>
      <c r="L203" s="33"/>
      <c r="M203" s="32"/>
      <c r="N203" s="47"/>
      <c r="O203" s="88"/>
      <c r="P203" s="2" t="str">
        <f t="shared" si="18"/>
        <v/>
      </c>
      <c r="Q203" s="2" t="str">
        <f t="shared" si="19"/>
        <v/>
      </c>
      <c r="R203" s="156" t="str">
        <f t="shared" si="22"/>
        <v/>
      </c>
    </row>
    <row r="204" spans="1:18" x14ac:dyDescent="0.3">
      <c r="A204">
        <f t="shared" si="20"/>
        <v>0</v>
      </c>
      <c r="B204" t="str">
        <f>H204&amp;" "&amp;COUNTIFS($H$3:H204,H204)</f>
        <v xml:space="preserve"> 0</v>
      </c>
      <c r="C204" s="34"/>
      <c r="D204" s="32"/>
      <c r="E204" s="32"/>
      <c r="F204" s="32"/>
      <c r="G204" s="32"/>
      <c r="H204" s="32"/>
      <c r="I204" s="105" t="str">
        <f t="shared" si="21"/>
        <v/>
      </c>
      <c r="J204" s="45"/>
      <c r="K204" s="45"/>
      <c r="L204" s="33"/>
      <c r="M204" s="32"/>
      <c r="N204" s="47"/>
      <c r="O204" s="88"/>
      <c r="P204" s="2" t="str">
        <f t="shared" si="18"/>
        <v/>
      </c>
      <c r="Q204" s="2" t="str">
        <f t="shared" si="19"/>
        <v/>
      </c>
      <c r="R204" s="156" t="str">
        <f t="shared" si="22"/>
        <v/>
      </c>
    </row>
    <row r="205" spans="1:18" x14ac:dyDescent="0.3">
      <c r="A205">
        <f t="shared" si="20"/>
        <v>0</v>
      </c>
      <c r="B205" t="str">
        <f>H205&amp;" "&amp;COUNTIFS($H$3:H205,H205)</f>
        <v xml:space="preserve"> 0</v>
      </c>
      <c r="C205" s="34"/>
      <c r="D205" s="32"/>
      <c r="E205" s="32"/>
      <c r="F205" s="32"/>
      <c r="G205" s="32"/>
      <c r="H205" s="32"/>
      <c r="I205" s="105" t="str">
        <f t="shared" si="21"/>
        <v/>
      </c>
      <c r="J205" s="45"/>
      <c r="K205" s="45"/>
      <c r="L205" s="33"/>
      <c r="M205" s="32"/>
      <c r="N205" s="47"/>
      <c r="O205" s="88"/>
      <c r="P205" s="2" t="str">
        <f t="shared" si="18"/>
        <v/>
      </c>
      <c r="Q205" s="2" t="str">
        <f t="shared" si="19"/>
        <v/>
      </c>
      <c r="R205" s="156" t="str">
        <f t="shared" si="22"/>
        <v/>
      </c>
    </row>
    <row r="206" spans="1:18" x14ac:dyDescent="0.3">
      <c r="A206">
        <f t="shared" si="20"/>
        <v>0</v>
      </c>
      <c r="B206" t="str">
        <f>H206&amp;" "&amp;COUNTIFS($H$3:H206,H206)</f>
        <v xml:space="preserve"> 0</v>
      </c>
      <c r="C206" s="34"/>
      <c r="D206" s="32"/>
      <c r="E206" s="32"/>
      <c r="F206" s="32"/>
      <c r="G206" s="32"/>
      <c r="H206" s="32"/>
      <c r="I206" s="105" t="str">
        <f t="shared" si="21"/>
        <v/>
      </c>
      <c r="J206" s="45"/>
      <c r="K206" s="45"/>
      <c r="L206" s="33"/>
      <c r="M206" s="32"/>
      <c r="N206" s="47"/>
      <c r="O206" s="88"/>
      <c r="P206" s="2" t="str">
        <f t="shared" si="18"/>
        <v/>
      </c>
      <c r="Q206" s="2" t="str">
        <f t="shared" si="19"/>
        <v/>
      </c>
      <c r="R206" s="156" t="str">
        <f t="shared" si="22"/>
        <v/>
      </c>
    </row>
    <row r="207" spans="1:18" x14ac:dyDescent="0.3">
      <c r="A207">
        <f t="shared" si="20"/>
        <v>0</v>
      </c>
      <c r="B207" t="str">
        <f>H207&amp;" "&amp;COUNTIFS($H$3:H207,H207)</f>
        <v xml:space="preserve"> 0</v>
      </c>
      <c r="C207" s="34"/>
      <c r="D207" s="32"/>
      <c r="E207" s="32"/>
      <c r="F207" s="32"/>
      <c r="G207" s="32"/>
      <c r="H207" s="32"/>
      <c r="I207" s="105" t="str">
        <f t="shared" si="21"/>
        <v/>
      </c>
      <c r="J207" s="45"/>
      <c r="K207" s="45"/>
      <c r="L207" s="33"/>
      <c r="M207" s="32"/>
      <c r="N207" s="47"/>
      <c r="O207" s="88"/>
      <c r="P207" s="2" t="str">
        <f t="shared" si="18"/>
        <v/>
      </c>
      <c r="Q207" s="2" t="str">
        <f t="shared" si="19"/>
        <v/>
      </c>
      <c r="R207" s="156" t="str">
        <f t="shared" si="22"/>
        <v/>
      </c>
    </row>
    <row r="208" spans="1:18" x14ac:dyDescent="0.3">
      <c r="A208">
        <f t="shared" si="20"/>
        <v>0</v>
      </c>
      <c r="B208" t="str">
        <f>H208&amp;" "&amp;COUNTIFS($H$3:H208,H208)</f>
        <v xml:space="preserve"> 0</v>
      </c>
      <c r="C208" s="34"/>
      <c r="D208" s="32"/>
      <c r="E208" s="32"/>
      <c r="F208" s="32"/>
      <c r="G208" s="32"/>
      <c r="H208" s="32"/>
      <c r="I208" s="105" t="str">
        <f t="shared" si="21"/>
        <v/>
      </c>
      <c r="J208" s="45"/>
      <c r="K208" s="45"/>
      <c r="L208" s="33"/>
      <c r="M208" s="32"/>
      <c r="N208" s="47"/>
      <c r="O208" s="88"/>
      <c r="P208" s="2" t="str">
        <f t="shared" si="18"/>
        <v/>
      </c>
      <c r="Q208" s="2" t="str">
        <f t="shared" si="19"/>
        <v/>
      </c>
      <c r="R208" s="156" t="str">
        <f t="shared" si="22"/>
        <v/>
      </c>
    </row>
    <row r="209" spans="1:18" x14ac:dyDescent="0.3">
      <c r="A209">
        <f t="shared" si="20"/>
        <v>0</v>
      </c>
      <c r="B209" t="str">
        <f>H209&amp;" "&amp;COUNTIFS($H$3:H209,H209)</f>
        <v xml:space="preserve"> 0</v>
      </c>
      <c r="C209" s="34"/>
      <c r="D209" s="32"/>
      <c r="E209" s="32"/>
      <c r="F209" s="32"/>
      <c r="G209" s="32"/>
      <c r="H209" s="32"/>
      <c r="I209" s="105" t="str">
        <f t="shared" si="21"/>
        <v/>
      </c>
      <c r="J209" s="45"/>
      <c r="K209" s="45"/>
      <c r="L209" s="33"/>
      <c r="M209" s="32"/>
      <c r="N209" s="47"/>
      <c r="O209" s="88"/>
      <c r="P209" s="2" t="str">
        <f t="shared" si="18"/>
        <v/>
      </c>
      <c r="Q209" s="2" t="str">
        <f t="shared" si="19"/>
        <v/>
      </c>
      <c r="R209" s="156" t="str">
        <f t="shared" si="22"/>
        <v/>
      </c>
    </row>
    <row r="210" spans="1:18" x14ac:dyDescent="0.3">
      <c r="A210">
        <f t="shared" si="20"/>
        <v>0</v>
      </c>
      <c r="B210" t="str">
        <f>H210&amp;" "&amp;COUNTIFS($H$3:H210,H210)</f>
        <v xml:space="preserve"> 0</v>
      </c>
      <c r="C210" s="34"/>
      <c r="D210" s="32"/>
      <c r="E210" s="32"/>
      <c r="F210" s="32"/>
      <c r="G210" s="32"/>
      <c r="H210" s="32"/>
      <c r="I210" s="105" t="str">
        <f t="shared" si="21"/>
        <v/>
      </c>
      <c r="J210" s="45"/>
      <c r="K210" s="45"/>
      <c r="L210" s="33"/>
      <c r="M210" s="32"/>
      <c r="N210" s="47"/>
      <c r="O210" s="88"/>
      <c r="P210" s="2" t="str">
        <f t="shared" si="18"/>
        <v/>
      </c>
      <c r="Q210" s="2" t="str">
        <f t="shared" si="19"/>
        <v/>
      </c>
      <c r="R210" s="156" t="str">
        <f t="shared" si="22"/>
        <v/>
      </c>
    </row>
    <row r="211" spans="1:18" x14ac:dyDescent="0.3">
      <c r="A211">
        <f t="shared" si="20"/>
        <v>0</v>
      </c>
      <c r="B211" t="str">
        <f>H211&amp;" "&amp;COUNTIFS($H$3:H211,H211)</f>
        <v xml:space="preserve"> 0</v>
      </c>
      <c r="C211" s="34"/>
      <c r="D211" s="32"/>
      <c r="E211" s="32"/>
      <c r="F211" s="32"/>
      <c r="G211" s="32"/>
      <c r="H211" s="32"/>
      <c r="I211" s="105" t="str">
        <f t="shared" si="21"/>
        <v/>
      </c>
      <c r="J211" s="45"/>
      <c r="K211" s="45"/>
      <c r="L211" s="33"/>
      <c r="M211" s="32"/>
      <c r="N211" s="47"/>
      <c r="O211" s="88"/>
      <c r="P211" s="2" t="str">
        <f t="shared" si="18"/>
        <v/>
      </c>
      <c r="Q211" s="2" t="str">
        <f t="shared" si="19"/>
        <v/>
      </c>
      <c r="R211" s="156" t="str">
        <f t="shared" si="22"/>
        <v/>
      </c>
    </row>
    <row r="212" spans="1:18" x14ac:dyDescent="0.3">
      <c r="A212">
        <f t="shared" si="20"/>
        <v>0</v>
      </c>
      <c r="B212" t="str">
        <f>H212&amp;" "&amp;COUNTIFS($H$3:H212,H212)</f>
        <v xml:space="preserve"> 0</v>
      </c>
      <c r="C212" s="34"/>
      <c r="D212" s="32"/>
      <c r="E212" s="32"/>
      <c r="F212" s="32"/>
      <c r="G212" s="32"/>
      <c r="H212" s="32"/>
      <c r="I212" s="105" t="str">
        <f t="shared" si="21"/>
        <v/>
      </c>
      <c r="J212" s="45"/>
      <c r="K212" s="45"/>
      <c r="L212" s="33"/>
      <c r="M212" s="32"/>
      <c r="N212" s="47"/>
      <c r="O212" s="88"/>
      <c r="P212" s="2" t="str">
        <f t="shared" si="18"/>
        <v/>
      </c>
      <c r="Q212" s="2" t="str">
        <f t="shared" si="19"/>
        <v/>
      </c>
      <c r="R212" s="156" t="str">
        <f t="shared" si="22"/>
        <v/>
      </c>
    </row>
    <row r="213" spans="1:18" x14ac:dyDescent="0.3">
      <c r="A213">
        <f t="shared" si="20"/>
        <v>0</v>
      </c>
      <c r="B213" t="str">
        <f>H213&amp;" "&amp;COUNTIFS($H$3:H213,H213)</f>
        <v xml:space="preserve"> 0</v>
      </c>
      <c r="C213" s="34"/>
      <c r="D213" s="32"/>
      <c r="E213" s="32"/>
      <c r="F213" s="32"/>
      <c r="G213" s="32"/>
      <c r="H213" s="32"/>
      <c r="I213" s="105" t="str">
        <f t="shared" si="21"/>
        <v/>
      </c>
      <c r="J213" s="45"/>
      <c r="K213" s="45"/>
      <c r="L213" s="33"/>
      <c r="M213" s="32"/>
      <c r="N213" s="47"/>
      <c r="O213" s="88"/>
      <c r="P213" s="2" t="str">
        <f t="shared" si="18"/>
        <v/>
      </c>
      <c r="Q213" s="2" t="str">
        <f t="shared" si="19"/>
        <v/>
      </c>
      <c r="R213" s="156" t="str">
        <f t="shared" si="22"/>
        <v/>
      </c>
    </row>
    <row r="214" spans="1:18" x14ac:dyDescent="0.3">
      <c r="A214">
        <f t="shared" si="20"/>
        <v>0</v>
      </c>
      <c r="B214" t="str">
        <f>H214&amp;" "&amp;COUNTIFS($H$3:H214,H214)</f>
        <v xml:space="preserve"> 0</v>
      </c>
      <c r="C214" s="34"/>
      <c r="D214" s="32"/>
      <c r="E214" s="32"/>
      <c r="F214" s="32"/>
      <c r="G214" s="32"/>
      <c r="H214" s="32"/>
      <c r="I214" s="105" t="str">
        <f t="shared" si="21"/>
        <v/>
      </c>
      <c r="J214" s="45"/>
      <c r="K214" s="45"/>
      <c r="L214" s="33"/>
      <c r="M214" s="32"/>
      <c r="N214" s="47"/>
      <c r="O214" s="88"/>
      <c r="P214" s="2" t="str">
        <f t="shared" si="18"/>
        <v/>
      </c>
      <c r="Q214" s="2" t="str">
        <f t="shared" si="19"/>
        <v/>
      </c>
      <c r="R214" s="156" t="str">
        <f t="shared" si="22"/>
        <v/>
      </c>
    </row>
    <row r="215" spans="1:18" x14ac:dyDescent="0.3">
      <c r="A215">
        <f t="shared" si="20"/>
        <v>0</v>
      </c>
      <c r="B215" t="str">
        <f>H215&amp;" "&amp;COUNTIFS($H$3:H215,H215)</f>
        <v xml:space="preserve"> 0</v>
      </c>
      <c r="C215" s="34"/>
      <c r="D215" s="32"/>
      <c r="E215" s="32"/>
      <c r="F215" s="32"/>
      <c r="G215" s="32"/>
      <c r="H215" s="32"/>
      <c r="I215" s="105" t="str">
        <f t="shared" si="21"/>
        <v/>
      </c>
      <c r="J215" s="45"/>
      <c r="K215" s="45"/>
      <c r="L215" s="33"/>
      <c r="M215" s="32"/>
      <c r="N215" s="47"/>
      <c r="O215" s="88"/>
      <c r="P215" s="2" t="str">
        <f t="shared" si="18"/>
        <v/>
      </c>
      <c r="Q215" s="2" t="str">
        <f t="shared" si="19"/>
        <v/>
      </c>
      <c r="R215" s="156" t="str">
        <f t="shared" si="22"/>
        <v/>
      </c>
    </row>
    <row r="216" spans="1:18" x14ac:dyDescent="0.3">
      <c r="A216">
        <f t="shared" si="20"/>
        <v>0</v>
      </c>
      <c r="B216" t="str">
        <f>H216&amp;" "&amp;COUNTIFS($H$3:H216,H216)</f>
        <v xml:space="preserve"> 0</v>
      </c>
      <c r="C216" s="34"/>
      <c r="D216" s="32"/>
      <c r="E216" s="32"/>
      <c r="F216" s="32"/>
      <c r="G216" s="32"/>
      <c r="H216" s="32"/>
      <c r="I216" s="105" t="str">
        <f t="shared" si="21"/>
        <v/>
      </c>
      <c r="J216" s="45"/>
      <c r="K216" s="45"/>
      <c r="L216" s="33"/>
      <c r="M216" s="32"/>
      <c r="N216" s="47"/>
      <c r="O216" s="88"/>
      <c r="P216" s="2" t="str">
        <f t="shared" si="18"/>
        <v/>
      </c>
      <c r="Q216" s="2" t="str">
        <f t="shared" si="19"/>
        <v/>
      </c>
      <c r="R216" s="156" t="str">
        <f t="shared" si="22"/>
        <v/>
      </c>
    </row>
    <row r="217" spans="1:18" x14ac:dyDescent="0.3">
      <c r="A217">
        <f t="shared" si="20"/>
        <v>0</v>
      </c>
      <c r="B217" t="str">
        <f>H217&amp;" "&amp;COUNTIFS($H$3:H217,H217)</f>
        <v xml:space="preserve"> 0</v>
      </c>
      <c r="C217" s="34"/>
      <c r="D217" s="32"/>
      <c r="E217" s="32"/>
      <c r="F217" s="32"/>
      <c r="G217" s="32"/>
      <c r="H217" s="32"/>
      <c r="I217" s="105" t="str">
        <f t="shared" si="21"/>
        <v/>
      </c>
      <c r="J217" s="45"/>
      <c r="K217" s="45"/>
      <c r="L217" s="33"/>
      <c r="M217" s="32"/>
      <c r="N217" s="47"/>
      <c r="O217" s="88"/>
      <c r="P217" s="2" t="str">
        <f t="shared" si="18"/>
        <v/>
      </c>
      <c r="Q217" s="2" t="str">
        <f t="shared" si="19"/>
        <v/>
      </c>
      <c r="R217" s="156" t="str">
        <f t="shared" si="22"/>
        <v/>
      </c>
    </row>
    <row r="218" spans="1:18" x14ac:dyDescent="0.3">
      <c r="A218">
        <f t="shared" si="20"/>
        <v>0</v>
      </c>
      <c r="B218" t="str">
        <f>H218&amp;" "&amp;COUNTIFS($H$3:H218,H218)</f>
        <v xml:space="preserve"> 0</v>
      </c>
      <c r="C218" s="34"/>
      <c r="D218" s="32"/>
      <c r="E218" s="32"/>
      <c r="F218" s="32"/>
      <c r="G218" s="32"/>
      <c r="H218" s="32"/>
      <c r="I218" s="105" t="str">
        <f t="shared" si="21"/>
        <v/>
      </c>
      <c r="J218" s="45"/>
      <c r="K218" s="45"/>
      <c r="L218" s="33"/>
      <c r="M218" s="32"/>
      <c r="N218" s="47"/>
      <c r="O218" s="88"/>
      <c r="P218" s="2" t="str">
        <f t="shared" si="18"/>
        <v/>
      </c>
      <c r="Q218" s="2" t="str">
        <f t="shared" si="19"/>
        <v/>
      </c>
      <c r="R218" s="156" t="str">
        <f t="shared" si="22"/>
        <v/>
      </c>
    </row>
    <row r="219" spans="1:18" x14ac:dyDescent="0.3">
      <c r="A219">
        <f t="shared" si="20"/>
        <v>0</v>
      </c>
      <c r="B219" t="str">
        <f>H219&amp;" "&amp;COUNTIFS($H$3:H219,H219)</f>
        <v xml:space="preserve"> 0</v>
      </c>
      <c r="C219" s="34"/>
      <c r="D219" s="32"/>
      <c r="E219" s="32"/>
      <c r="F219" s="32"/>
      <c r="G219" s="32"/>
      <c r="H219" s="32"/>
      <c r="I219" s="105" t="str">
        <f t="shared" si="21"/>
        <v/>
      </c>
      <c r="J219" s="45"/>
      <c r="K219" s="45"/>
      <c r="L219" s="33"/>
      <c r="M219" s="32"/>
      <c r="N219" s="47"/>
      <c r="O219" s="88"/>
      <c r="P219" s="2" t="str">
        <f t="shared" si="18"/>
        <v/>
      </c>
      <c r="Q219" s="2" t="str">
        <f t="shared" si="19"/>
        <v/>
      </c>
      <c r="R219" s="156" t="str">
        <f t="shared" si="22"/>
        <v/>
      </c>
    </row>
    <row r="220" spans="1:18" x14ac:dyDescent="0.3">
      <c r="A220">
        <f t="shared" si="20"/>
        <v>0</v>
      </c>
      <c r="B220" t="str">
        <f>H220&amp;" "&amp;COUNTIFS($H$3:H220,H220)</f>
        <v xml:space="preserve"> 0</v>
      </c>
      <c r="C220" s="34"/>
      <c r="D220" s="32"/>
      <c r="E220" s="32"/>
      <c r="F220" s="32"/>
      <c r="G220" s="32"/>
      <c r="H220" s="32"/>
      <c r="I220" s="105" t="str">
        <f t="shared" si="21"/>
        <v/>
      </c>
      <c r="J220" s="45"/>
      <c r="K220" s="45"/>
      <c r="L220" s="33"/>
      <c r="M220" s="32"/>
      <c r="N220" s="47"/>
      <c r="O220" s="88"/>
      <c r="P220" s="2" t="str">
        <f t="shared" si="18"/>
        <v/>
      </c>
      <c r="Q220" s="2" t="str">
        <f t="shared" si="19"/>
        <v/>
      </c>
      <c r="R220" s="156" t="str">
        <f t="shared" si="22"/>
        <v/>
      </c>
    </row>
    <row r="221" spans="1:18" x14ac:dyDescent="0.3">
      <c r="A221">
        <f t="shared" si="20"/>
        <v>0</v>
      </c>
      <c r="B221" t="str">
        <f>H221&amp;" "&amp;COUNTIFS($H$3:H221,H221)</f>
        <v xml:space="preserve"> 0</v>
      </c>
      <c r="C221" s="34"/>
      <c r="D221" s="32"/>
      <c r="E221" s="32"/>
      <c r="F221" s="32"/>
      <c r="G221" s="32"/>
      <c r="H221" s="32"/>
      <c r="I221" s="105" t="str">
        <f t="shared" si="21"/>
        <v/>
      </c>
      <c r="J221" s="45"/>
      <c r="K221" s="45"/>
      <c r="L221" s="33"/>
      <c r="M221" s="32"/>
      <c r="N221" s="47"/>
      <c r="O221" s="88"/>
      <c r="P221" s="2" t="str">
        <f t="shared" si="18"/>
        <v/>
      </c>
      <c r="Q221" s="2" t="str">
        <f t="shared" si="19"/>
        <v/>
      </c>
      <c r="R221" s="156" t="str">
        <f t="shared" si="22"/>
        <v/>
      </c>
    </row>
    <row r="222" spans="1:18" x14ac:dyDescent="0.3">
      <c r="A222">
        <f t="shared" si="20"/>
        <v>0</v>
      </c>
      <c r="B222" t="str">
        <f>H222&amp;" "&amp;COUNTIFS($H$3:H222,H222)</f>
        <v xml:space="preserve"> 0</v>
      </c>
      <c r="C222" s="34"/>
      <c r="D222" s="32"/>
      <c r="E222" s="32"/>
      <c r="F222" s="32"/>
      <c r="G222" s="32"/>
      <c r="H222" s="32"/>
      <c r="I222" s="105" t="str">
        <f t="shared" si="21"/>
        <v/>
      </c>
      <c r="J222" s="45"/>
      <c r="K222" s="45"/>
      <c r="L222" s="33"/>
      <c r="M222" s="32"/>
      <c r="N222" s="47"/>
      <c r="O222" s="88"/>
      <c r="P222" s="2" t="str">
        <f t="shared" si="18"/>
        <v/>
      </c>
      <c r="Q222" s="2" t="str">
        <f t="shared" si="19"/>
        <v/>
      </c>
      <c r="R222" s="156" t="str">
        <f t="shared" si="22"/>
        <v/>
      </c>
    </row>
    <row r="223" spans="1:18" x14ac:dyDescent="0.3">
      <c r="A223">
        <f t="shared" si="20"/>
        <v>0</v>
      </c>
      <c r="B223" t="str">
        <f>H223&amp;" "&amp;COUNTIFS($H$3:H223,H223)</f>
        <v xml:space="preserve"> 0</v>
      </c>
      <c r="C223" s="34"/>
      <c r="D223" s="32"/>
      <c r="E223" s="32"/>
      <c r="F223" s="32"/>
      <c r="G223" s="32"/>
      <c r="H223" s="32"/>
      <c r="I223" s="105" t="str">
        <f t="shared" si="21"/>
        <v/>
      </c>
      <c r="J223" s="45"/>
      <c r="K223" s="45"/>
      <c r="L223" s="33"/>
      <c r="M223" s="32"/>
      <c r="N223" s="47"/>
      <c r="O223" s="88"/>
      <c r="P223" s="2" t="str">
        <f t="shared" si="18"/>
        <v/>
      </c>
      <c r="Q223" s="2" t="str">
        <f t="shared" si="19"/>
        <v/>
      </c>
      <c r="R223" s="156" t="str">
        <f t="shared" si="22"/>
        <v/>
      </c>
    </row>
    <row r="224" spans="1:18" x14ac:dyDescent="0.3">
      <c r="A224">
        <f t="shared" si="20"/>
        <v>0</v>
      </c>
      <c r="B224" t="str">
        <f>H224&amp;" "&amp;COUNTIFS($H$3:H224,H224)</f>
        <v xml:space="preserve"> 0</v>
      </c>
      <c r="C224" s="34"/>
      <c r="D224" s="32"/>
      <c r="E224" s="32"/>
      <c r="F224" s="32"/>
      <c r="G224" s="32"/>
      <c r="H224" s="32"/>
      <c r="I224" s="105" t="str">
        <f t="shared" si="21"/>
        <v/>
      </c>
      <c r="J224" s="45"/>
      <c r="K224" s="45"/>
      <c r="L224" s="33"/>
      <c r="M224" s="32"/>
      <c r="N224" s="47"/>
      <c r="O224" s="88"/>
      <c r="P224" s="2" t="str">
        <f t="shared" si="18"/>
        <v/>
      </c>
      <c r="Q224" s="2" t="str">
        <f t="shared" si="19"/>
        <v/>
      </c>
      <c r="R224" s="156" t="str">
        <f t="shared" si="22"/>
        <v/>
      </c>
    </row>
    <row r="225" spans="1:18" x14ac:dyDescent="0.3">
      <c r="A225">
        <f t="shared" si="20"/>
        <v>0</v>
      </c>
      <c r="B225" t="str">
        <f>H225&amp;" "&amp;COUNTIFS($H$3:H225,H225)</f>
        <v xml:space="preserve"> 0</v>
      </c>
      <c r="C225" s="34"/>
      <c r="D225" s="32"/>
      <c r="E225" s="32"/>
      <c r="F225" s="32"/>
      <c r="G225" s="32"/>
      <c r="H225" s="32"/>
      <c r="I225" s="105" t="str">
        <f t="shared" si="21"/>
        <v/>
      </c>
      <c r="J225" s="45"/>
      <c r="K225" s="45"/>
      <c r="L225" s="33"/>
      <c r="M225" s="32"/>
      <c r="N225" s="47"/>
      <c r="O225" s="88"/>
      <c r="P225" s="2" t="str">
        <f t="shared" si="18"/>
        <v/>
      </c>
      <c r="Q225" s="2" t="str">
        <f t="shared" si="19"/>
        <v/>
      </c>
      <c r="R225" s="156" t="str">
        <f t="shared" si="22"/>
        <v/>
      </c>
    </row>
    <row r="226" spans="1:18" x14ac:dyDescent="0.3">
      <c r="A226">
        <f t="shared" si="20"/>
        <v>0</v>
      </c>
      <c r="B226" t="str">
        <f>H226&amp;" "&amp;COUNTIFS($H$3:H226,H226)</f>
        <v xml:space="preserve"> 0</v>
      </c>
      <c r="C226" s="34"/>
      <c r="D226" s="32"/>
      <c r="E226" s="32"/>
      <c r="F226" s="32"/>
      <c r="G226" s="32"/>
      <c r="H226" s="32"/>
      <c r="I226" s="105" t="str">
        <f t="shared" si="21"/>
        <v/>
      </c>
      <c r="J226" s="45"/>
      <c r="K226" s="45"/>
      <c r="L226" s="33"/>
      <c r="M226" s="32"/>
      <c r="N226" s="47"/>
      <c r="O226" s="88"/>
      <c r="P226" s="2" t="str">
        <f t="shared" si="18"/>
        <v/>
      </c>
      <c r="Q226" s="2" t="str">
        <f t="shared" si="19"/>
        <v/>
      </c>
      <c r="R226" s="156" t="str">
        <f t="shared" si="22"/>
        <v/>
      </c>
    </row>
    <row r="227" spans="1:18" x14ac:dyDescent="0.3">
      <c r="A227">
        <f t="shared" si="20"/>
        <v>0</v>
      </c>
      <c r="B227" t="str">
        <f>H227&amp;" "&amp;COUNTIFS($H$3:H227,H227)</f>
        <v xml:space="preserve"> 0</v>
      </c>
      <c r="C227" s="34"/>
      <c r="D227" s="32"/>
      <c r="E227" s="32"/>
      <c r="F227" s="32"/>
      <c r="G227" s="32"/>
      <c r="H227" s="32"/>
      <c r="I227" s="105" t="str">
        <f t="shared" si="21"/>
        <v/>
      </c>
      <c r="J227" s="45"/>
      <c r="K227" s="45"/>
      <c r="L227" s="33"/>
      <c r="M227" s="32"/>
      <c r="N227" s="47"/>
      <c r="O227" s="88"/>
      <c r="P227" s="2" t="str">
        <f t="shared" si="18"/>
        <v/>
      </c>
      <c r="Q227" s="2" t="str">
        <f t="shared" si="19"/>
        <v/>
      </c>
      <c r="R227" s="156" t="str">
        <f t="shared" si="22"/>
        <v/>
      </c>
    </row>
    <row r="228" spans="1:18" x14ac:dyDescent="0.3">
      <c r="A228">
        <f t="shared" si="20"/>
        <v>0</v>
      </c>
      <c r="B228" t="str">
        <f>H228&amp;" "&amp;COUNTIFS($H$3:H228,H228)</f>
        <v xml:space="preserve"> 0</v>
      </c>
      <c r="C228" s="34"/>
      <c r="D228" s="32"/>
      <c r="E228" s="32"/>
      <c r="F228" s="32"/>
      <c r="G228" s="32"/>
      <c r="H228" s="32"/>
      <c r="I228" s="105" t="str">
        <f t="shared" si="21"/>
        <v/>
      </c>
      <c r="J228" s="45"/>
      <c r="K228" s="45"/>
      <c r="L228" s="33"/>
      <c r="M228" s="32"/>
      <c r="N228" s="47"/>
      <c r="O228" s="88"/>
      <c r="P228" s="2" t="str">
        <f t="shared" si="18"/>
        <v/>
      </c>
      <c r="Q228" s="2" t="str">
        <f t="shared" si="19"/>
        <v/>
      </c>
      <c r="R228" s="156" t="str">
        <f t="shared" si="22"/>
        <v/>
      </c>
    </row>
    <row r="229" spans="1:18" x14ac:dyDescent="0.3">
      <c r="A229">
        <f t="shared" si="20"/>
        <v>0</v>
      </c>
      <c r="B229" t="str">
        <f>H229&amp;" "&amp;COUNTIFS($H$3:H229,H229)</f>
        <v xml:space="preserve"> 0</v>
      </c>
      <c r="C229" s="34"/>
      <c r="D229" s="32"/>
      <c r="E229" s="32"/>
      <c r="F229" s="32"/>
      <c r="G229" s="32"/>
      <c r="H229" s="32"/>
      <c r="I229" s="105" t="str">
        <f t="shared" si="21"/>
        <v/>
      </c>
      <c r="J229" s="45"/>
      <c r="K229" s="45"/>
      <c r="L229" s="33"/>
      <c r="M229" s="32"/>
      <c r="N229" s="47"/>
      <c r="O229" s="88"/>
      <c r="P229" s="2" t="str">
        <f t="shared" si="18"/>
        <v/>
      </c>
      <c r="Q229" s="2" t="str">
        <f t="shared" si="19"/>
        <v/>
      </c>
      <c r="R229" s="156" t="str">
        <f t="shared" si="22"/>
        <v/>
      </c>
    </row>
    <row r="230" spans="1:18" x14ac:dyDescent="0.3">
      <c r="A230">
        <f t="shared" si="20"/>
        <v>0</v>
      </c>
      <c r="B230" t="str">
        <f>H230&amp;" "&amp;COUNTIFS($H$3:H230,H230)</f>
        <v xml:space="preserve"> 0</v>
      </c>
      <c r="C230" s="34"/>
      <c r="D230" s="32"/>
      <c r="E230" s="32"/>
      <c r="F230" s="32"/>
      <c r="G230" s="32"/>
      <c r="H230" s="32"/>
      <c r="I230" s="105" t="str">
        <f t="shared" si="21"/>
        <v/>
      </c>
      <c r="J230" s="45"/>
      <c r="K230" s="45"/>
      <c r="L230" s="33"/>
      <c r="M230" s="32"/>
      <c r="N230" s="47"/>
      <c r="O230" s="88"/>
      <c r="P230" s="2" t="str">
        <f t="shared" si="18"/>
        <v/>
      </c>
      <c r="Q230" s="2" t="str">
        <f t="shared" si="19"/>
        <v/>
      </c>
      <c r="R230" s="156" t="str">
        <f t="shared" si="22"/>
        <v/>
      </c>
    </row>
    <row r="231" spans="1:18" x14ac:dyDescent="0.3">
      <c r="A231">
        <f t="shared" si="20"/>
        <v>0</v>
      </c>
      <c r="B231" t="str">
        <f>H231&amp;" "&amp;COUNTIFS($H$3:H231,H231)</f>
        <v xml:space="preserve"> 0</v>
      </c>
      <c r="C231" s="34"/>
      <c r="D231" s="32"/>
      <c r="E231" s="32"/>
      <c r="F231" s="32"/>
      <c r="G231" s="32"/>
      <c r="H231" s="32"/>
      <c r="I231" s="105" t="str">
        <f t="shared" si="21"/>
        <v/>
      </c>
      <c r="J231" s="45"/>
      <c r="K231" s="45"/>
      <c r="L231" s="33"/>
      <c r="M231" s="32"/>
      <c r="N231" s="47"/>
      <c r="O231" s="88"/>
      <c r="P231" s="2" t="str">
        <f t="shared" si="18"/>
        <v/>
      </c>
      <c r="Q231" s="2" t="str">
        <f t="shared" si="19"/>
        <v/>
      </c>
      <c r="R231" s="156" t="str">
        <f t="shared" si="22"/>
        <v/>
      </c>
    </row>
    <row r="232" spans="1:18" x14ac:dyDescent="0.3">
      <c r="A232">
        <f t="shared" si="20"/>
        <v>0</v>
      </c>
      <c r="B232" t="str">
        <f>H232&amp;" "&amp;COUNTIFS($H$3:H232,H232)</f>
        <v xml:space="preserve"> 0</v>
      </c>
      <c r="C232" s="34"/>
      <c r="D232" s="32"/>
      <c r="E232" s="32"/>
      <c r="F232" s="32"/>
      <c r="G232" s="32"/>
      <c r="H232" s="32"/>
      <c r="I232" s="105" t="str">
        <f t="shared" si="21"/>
        <v/>
      </c>
      <c r="J232" s="45"/>
      <c r="K232" s="45"/>
      <c r="L232" s="33"/>
      <c r="M232" s="32"/>
      <c r="N232" s="47"/>
      <c r="O232" s="88"/>
      <c r="P232" s="2" t="str">
        <f t="shared" si="18"/>
        <v/>
      </c>
      <c r="Q232" s="2" t="str">
        <f t="shared" si="19"/>
        <v/>
      </c>
      <c r="R232" s="156" t="str">
        <f t="shared" si="22"/>
        <v/>
      </c>
    </row>
    <row r="233" spans="1:18" x14ac:dyDescent="0.3">
      <c r="A233">
        <f t="shared" si="20"/>
        <v>0</v>
      </c>
      <c r="B233" t="str">
        <f>H233&amp;" "&amp;COUNTIFS($H$3:H233,H233)</f>
        <v xml:space="preserve"> 0</v>
      </c>
      <c r="C233" s="34"/>
      <c r="D233" s="32"/>
      <c r="E233" s="32"/>
      <c r="F233" s="32"/>
      <c r="G233" s="32"/>
      <c r="H233" s="32"/>
      <c r="I233" s="105" t="str">
        <f t="shared" si="21"/>
        <v/>
      </c>
      <c r="J233" s="45"/>
      <c r="K233" s="45"/>
      <c r="L233" s="33"/>
      <c r="M233" s="32"/>
      <c r="N233" s="47"/>
      <c r="O233" s="88"/>
      <c r="P233" s="2" t="str">
        <f t="shared" si="18"/>
        <v/>
      </c>
      <c r="Q233" s="2" t="str">
        <f t="shared" si="19"/>
        <v/>
      </c>
      <c r="R233" s="156" t="str">
        <f t="shared" si="22"/>
        <v/>
      </c>
    </row>
    <row r="234" spans="1:18" x14ac:dyDescent="0.3">
      <c r="A234">
        <f t="shared" si="20"/>
        <v>0</v>
      </c>
      <c r="B234" t="str">
        <f>H234&amp;" "&amp;COUNTIFS($H$3:H234,H234)</f>
        <v xml:space="preserve"> 0</v>
      </c>
      <c r="C234" s="34"/>
      <c r="D234" s="32"/>
      <c r="E234" s="32"/>
      <c r="F234" s="32"/>
      <c r="G234" s="32"/>
      <c r="H234" s="32"/>
      <c r="I234" s="105" t="str">
        <f t="shared" si="21"/>
        <v/>
      </c>
      <c r="J234" s="45"/>
      <c r="K234" s="45"/>
      <c r="L234" s="33"/>
      <c r="M234" s="32"/>
      <c r="N234" s="47"/>
      <c r="O234" s="88"/>
      <c r="P234" s="2" t="str">
        <f t="shared" si="18"/>
        <v/>
      </c>
      <c r="Q234" s="2" t="str">
        <f t="shared" si="19"/>
        <v/>
      </c>
      <c r="R234" s="156" t="str">
        <f t="shared" si="22"/>
        <v/>
      </c>
    </row>
    <row r="235" spans="1:18" x14ac:dyDescent="0.3">
      <c r="A235">
        <f t="shared" si="20"/>
        <v>0</v>
      </c>
      <c r="B235" t="str">
        <f>H235&amp;" "&amp;COUNTIFS($H$3:H235,H235)</f>
        <v xml:space="preserve"> 0</v>
      </c>
      <c r="C235" s="34"/>
      <c r="D235" s="32"/>
      <c r="E235" s="32"/>
      <c r="F235" s="32"/>
      <c r="G235" s="32"/>
      <c r="H235" s="32"/>
      <c r="I235" s="105" t="str">
        <f t="shared" si="21"/>
        <v/>
      </c>
      <c r="J235" s="45"/>
      <c r="K235" s="45"/>
      <c r="L235" s="33"/>
      <c r="M235" s="32"/>
      <c r="N235" s="47"/>
      <c r="O235" s="88"/>
      <c r="P235" s="2" t="str">
        <f t="shared" si="18"/>
        <v/>
      </c>
      <c r="Q235" s="2" t="str">
        <f t="shared" si="19"/>
        <v/>
      </c>
      <c r="R235" s="156" t="str">
        <f t="shared" si="22"/>
        <v/>
      </c>
    </row>
    <row r="236" spans="1:18" x14ac:dyDescent="0.3">
      <c r="A236">
        <f t="shared" si="20"/>
        <v>0</v>
      </c>
      <c r="B236" t="str">
        <f>H236&amp;" "&amp;COUNTIFS($H$3:H236,H236)</f>
        <v xml:space="preserve"> 0</v>
      </c>
      <c r="C236" s="34"/>
      <c r="D236" s="32"/>
      <c r="E236" s="32"/>
      <c r="F236" s="32"/>
      <c r="G236" s="32"/>
      <c r="H236" s="32"/>
      <c r="I236" s="105" t="str">
        <f t="shared" si="21"/>
        <v/>
      </c>
      <c r="J236" s="45"/>
      <c r="K236" s="45"/>
      <c r="L236" s="33"/>
      <c r="M236" s="32"/>
      <c r="N236" s="47"/>
      <c r="O236" s="88"/>
      <c r="P236" s="2" t="str">
        <f t="shared" si="18"/>
        <v/>
      </c>
      <c r="Q236" s="2" t="str">
        <f t="shared" si="19"/>
        <v/>
      </c>
      <c r="R236" s="156" t="str">
        <f t="shared" si="22"/>
        <v/>
      </c>
    </row>
    <row r="237" spans="1:18" x14ac:dyDescent="0.3">
      <c r="A237">
        <f t="shared" si="20"/>
        <v>0</v>
      </c>
      <c r="B237" t="str">
        <f>H237&amp;" "&amp;COUNTIFS($H$3:H237,H237)</f>
        <v xml:space="preserve"> 0</v>
      </c>
      <c r="C237" s="34"/>
      <c r="D237" s="32"/>
      <c r="E237" s="32"/>
      <c r="F237" s="32"/>
      <c r="G237" s="32"/>
      <c r="H237" s="32"/>
      <c r="I237" s="105" t="str">
        <f t="shared" si="21"/>
        <v/>
      </c>
      <c r="J237" s="45"/>
      <c r="K237" s="45"/>
      <c r="L237" s="33"/>
      <c r="M237" s="32"/>
      <c r="N237" s="47"/>
      <c r="O237" s="88"/>
      <c r="P237" s="2" t="str">
        <f t="shared" si="18"/>
        <v/>
      </c>
      <c r="Q237" s="2" t="str">
        <f t="shared" si="19"/>
        <v/>
      </c>
      <c r="R237" s="156" t="str">
        <f t="shared" si="22"/>
        <v/>
      </c>
    </row>
    <row r="238" spans="1:18" x14ac:dyDescent="0.3">
      <c r="A238">
        <f t="shared" si="20"/>
        <v>0</v>
      </c>
      <c r="B238" t="str">
        <f>H238&amp;" "&amp;COUNTIFS($H$3:H238,H238)</f>
        <v xml:space="preserve"> 0</v>
      </c>
      <c r="C238" s="34"/>
      <c r="D238" s="32"/>
      <c r="E238" s="32"/>
      <c r="F238" s="32"/>
      <c r="G238" s="32"/>
      <c r="H238" s="32"/>
      <c r="I238" s="105" t="str">
        <f t="shared" si="21"/>
        <v/>
      </c>
      <c r="J238" s="45"/>
      <c r="K238" s="45"/>
      <c r="L238" s="33"/>
      <c r="M238" s="32"/>
      <c r="N238" s="47"/>
      <c r="O238" s="88"/>
      <c r="P238" s="2" t="str">
        <f t="shared" si="18"/>
        <v/>
      </c>
      <c r="Q238" s="2" t="str">
        <f t="shared" si="19"/>
        <v/>
      </c>
      <c r="R238" s="156" t="str">
        <f t="shared" si="22"/>
        <v/>
      </c>
    </row>
    <row r="239" spans="1:18" x14ac:dyDescent="0.3">
      <c r="A239">
        <f t="shared" si="20"/>
        <v>0</v>
      </c>
      <c r="B239" t="str">
        <f>H239&amp;" "&amp;COUNTIFS($H$3:H239,H239)</f>
        <v xml:space="preserve"> 0</v>
      </c>
      <c r="C239" s="34"/>
      <c r="D239" s="32"/>
      <c r="E239" s="32"/>
      <c r="F239" s="32"/>
      <c r="G239" s="32"/>
      <c r="H239" s="32"/>
      <c r="I239" s="105" t="str">
        <f t="shared" si="21"/>
        <v/>
      </c>
      <c r="J239" s="45"/>
      <c r="K239" s="45"/>
      <c r="L239" s="33"/>
      <c r="M239" s="32"/>
      <c r="N239" s="47"/>
      <c r="O239" s="88"/>
      <c r="P239" s="2" t="str">
        <f t="shared" si="18"/>
        <v/>
      </c>
      <c r="Q239" s="2" t="str">
        <f t="shared" si="19"/>
        <v/>
      </c>
      <c r="R239" s="156" t="str">
        <f t="shared" si="22"/>
        <v/>
      </c>
    </row>
    <row r="240" spans="1:18" x14ac:dyDescent="0.3">
      <c r="A240">
        <f t="shared" si="20"/>
        <v>0</v>
      </c>
      <c r="B240" t="str">
        <f>H240&amp;" "&amp;COUNTIFS($H$3:H240,H240)</f>
        <v xml:space="preserve"> 0</v>
      </c>
      <c r="C240" s="34"/>
      <c r="D240" s="32"/>
      <c r="E240" s="32"/>
      <c r="F240" s="32"/>
      <c r="G240" s="32"/>
      <c r="H240" s="32"/>
      <c r="I240" s="105" t="str">
        <f t="shared" si="21"/>
        <v/>
      </c>
      <c r="J240" s="45"/>
      <c r="K240" s="45"/>
      <c r="L240" s="33"/>
      <c r="M240" s="32"/>
      <c r="N240" s="47"/>
      <c r="O240" s="88"/>
      <c r="P240" s="2" t="str">
        <f t="shared" si="18"/>
        <v/>
      </c>
      <c r="Q240" s="2" t="str">
        <f t="shared" si="19"/>
        <v/>
      </c>
      <c r="R240" s="156" t="str">
        <f t="shared" si="22"/>
        <v/>
      </c>
    </row>
    <row r="241" spans="1:18" x14ac:dyDescent="0.3">
      <c r="A241">
        <f t="shared" si="20"/>
        <v>0</v>
      </c>
      <c r="B241" t="str">
        <f>H241&amp;" "&amp;COUNTIFS($H$3:H241,H241)</f>
        <v xml:space="preserve"> 0</v>
      </c>
      <c r="C241" s="34"/>
      <c r="D241" s="32"/>
      <c r="E241" s="32"/>
      <c r="F241" s="32"/>
      <c r="G241" s="32"/>
      <c r="H241" s="32"/>
      <c r="I241" s="105" t="str">
        <f t="shared" si="21"/>
        <v/>
      </c>
      <c r="J241" s="45"/>
      <c r="K241" s="45"/>
      <c r="L241" s="33"/>
      <c r="M241" s="32"/>
      <c r="N241" s="47"/>
      <c r="O241" s="88"/>
      <c r="P241" s="2" t="str">
        <f t="shared" si="18"/>
        <v/>
      </c>
      <c r="Q241" s="2" t="str">
        <f t="shared" si="19"/>
        <v/>
      </c>
      <c r="R241" s="156" t="str">
        <f t="shared" si="22"/>
        <v/>
      </c>
    </row>
    <row r="242" spans="1:18" x14ac:dyDescent="0.3">
      <c r="A242">
        <f t="shared" si="20"/>
        <v>0</v>
      </c>
      <c r="B242" t="str">
        <f>H242&amp;" "&amp;COUNTIFS($H$3:H242,H242)</f>
        <v xml:space="preserve"> 0</v>
      </c>
      <c r="C242" s="34"/>
      <c r="D242" s="32"/>
      <c r="E242" s="32"/>
      <c r="F242" s="32"/>
      <c r="G242" s="32"/>
      <c r="H242" s="32"/>
      <c r="I242" s="105" t="str">
        <f t="shared" si="21"/>
        <v/>
      </c>
      <c r="J242" s="45"/>
      <c r="K242" s="45"/>
      <c r="L242" s="33"/>
      <c r="M242" s="32"/>
      <c r="N242" s="47"/>
      <c r="O242" s="88"/>
      <c r="P242" s="2" t="str">
        <f t="shared" si="18"/>
        <v/>
      </c>
      <c r="Q242" s="2" t="str">
        <f t="shared" si="19"/>
        <v/>
      </c>
      <c r="R242" s="156" t="str">
        <f t="shared" si="22"/>
        <v/>
      </c>
    </row>
    <row r="243" spans="1:18" x14ac:dyDescent="0.3">
      <c r="A243">
        <f t="shared" si="20"/>
        <v>0</v>
      </c>
      <c r="B243" t="str">
        <f>H243&amp;" "&amp;COUNTIFS($H$3:H243,H243)</f>
        <v xml:space="preserve"> 0</v>
      </c>
      <c r="C243" s="34"/>
      <c r="D243" s="32"/>
      <c r="E243" s="32"/>
      <c r="F243" s="32"/>
      <c r="G243" s="32"/>
      <c r="H243" s="32"/>
      <c r="I243" s="105" t="str">
        <f t="shared" si="21"/>
        <v/>
      </c>
      <c r="J243" s="45"/>
      <c r="K243" s="45"/>
      <c r="L243" s="33"/>
      <c r="M243" s="32"/>
      <c r="N243" s="47"/>
      <c r="O243" s="88"/>
      <c r="P243" s="2" t="str">
        <f t="shared" si="18"/>
        <v/>
      </c>
      <c r="Q243" s="2" t="str">
        <f t="shared" si="19"/>
        <v/>
      </c>
      <c r="R243" s="156" t="str">
        <f t="shared" si="22"/>
        <v/>
      </c>
    </row>
    <row r="244" spans="1:18" x14ac:dyDescent="0.3">
      <c r="A244">
        <f t="shared" si="20"/>
        <v>0</v>
      </c>
      <c r="B244" t="str">
        <f>H244&amp;" "&amp;COUNTIFS($H$3:H244,H244)</f>
        <v xml:space="preserve"> 0</v>
      </c>
      <c r="C244" s="34"/>
      <c r="D244" s="32"/>
      <c r="E244" s="32"/>
      <c r="F244" s="32"/>
      <c r="G244" s="32"/>
      <c r="H244" s="32"/>
      <c r="I244" s="105" t="str">
        <f t="shared" si="21"/>
        <v/>
      </c>
      <c r="J244" s="45"/>
      <c r="K244" s="45"/>
      <c r="L244" s="33"/>
      <c r="M244" s="32"/>
      <c r="N244" s="47"/>
      <c r="O244" s="88"/>
      <c r="P244" s="2" t="str">
        <f t="shared" si="18"/>
        <v/>
      </c>
      <c r="Q244" s="2" t="str">
        <f t="shared" si="19"/>
        <v/>
      </c>
      <c r="R244" s="156" t="str">
        <f t="shared" si="22"/>
        <v/>
      </c>
    </row>
    <row r="245" spans="1:18" x14ac:dyDescent="0.3">
      <c r="A245">
        <f t="shared" si="20"/>
        <v>0</v>
      </c>
      <c r="B245" t="str">
        <f>H245&amp;" "&amp;COUNTIFS($H$3:H245,H245)</f>
        <v xml:space="preserve"> 0</v>
      </c>
      <c r="C245" s="34"/>
      <c r="D245" s="32"/>
      <c r="E245" s="32"/>
      <c r="F245" s="32"/>
      <c r="G245" s="32"/>
      <c r="H245" s="32"/>
      <c r="I245" s="105" t="str">
        <f t="shared" si="21"/>
        <v/>
      </c>
      <c r="J245" s="45"/>
      <c r="K245" s="45"/>
      <c r="L245" s="33"/>
      <c r="M245" s="32"/>
      <c r="N245" s="47"/>
      <c r="O245" s="88"/>
      <c r="P245" s="2" t="str">
        <f t="shared" si="18"/>
        <v/>
      </c>
      <c r="Q245" s="2" t="str">
        <f t="shared" si="19"/>
        <v/>
      </c>
      <c r="R245" s="156" t="str">
        <f t="shared" si="22"/>
        <v/>
      </c>
    </row>
    <row r="246" spans="1:18" x14ac:dyDescent="0.3">
      <c r="A246">
        <f t="shared" si="20"/>
        <v>0</v>
      </c>
      <c r="B246" t="str">
        <f>H246&amp;" "&amp;COUNTIFS($H$3:H246,H246)</f>
        <v xml:space="preserve"> 0</v>
      </c>
      <c r="C246" s="34"/>
      <c r="D246" s="32"/>
      <c r="E246" s="32"/>
      <c r="F246" s="32"/>
      <c r="G246" s="32"/>
      <c r="H246" s="32"/>
      <c r="I246" s="105" t="str">
        <f t="shared" si="21"/>
        <v/>
      </c>
      <c r="J246" s="45"/>
      <c r="K246" s="45"/>
      <c r="L246" s="33"/>
      <c r="M246" s="32"/>
      <c r="N246" s="47"/>
      <c r="O246" s="88"/>
      <c r="P246" s="2" t="str">
        <f t="shared" si="18"/>
        <v/>
      </c>
      <c r="Q246" s="2" t="str">
        <f t="shared" si="19"/>
        <v/>
      </c>
      <c r="R246" s="156" t="str">
        <f t="shared" si="22"/>
        <v/>
      </c>
    </row>
    <row r="247" spans="1:18" x14ac:dyDescent="0.3">
      <c r="A247">
        <f t="shared" si="20"/>
        <v>0</v>
      </c>
      <c r="B247" t="str">
        <f>H247&amp;" "&amp;COUNTIFS($H$3:H247,H247)</f>
        <v xml:space="preserve"> 0</v>
      </c>
      <c r="C247" s="34"/>
      <c r="D247" s="32"/>
      <c r="E247" s="32"/>
      <c r="F247" s="32"/>
      <c r="G247" s="32"/>
      <c r="H247" s="32"/>
      <c r="I247" s="105" t="str">
        <f t="shared" si="21"/>
        <v/>
      </c>
      <c r="J247" s="45"/>
      <c r="K247" s="45"/>
      <c r="L247" s="33"/>
      <c r="M247" s="32"/>
      <c r="N247" s="47"/>
      <c r="O247" s="88"/>
      <c r="P247" s="2" t="str">
        <f t="shared" si="18"/>
        <v/>
      </c>
      <c r="Q247" s="2" t="str">
        <f t="shared" si="19"/>
        <v/>
      </c>
      <c r="R247" s="156" t="str">
        <f t="shared" si="22"/>
        <v/>
      </c>
    </row>
    <row r="248" spans="1:18" x14ac:dyDescent="0.3">
      <c r="A248">
        <f t="shared" si="20"/>
        <v>0</v>
      </c>
      <c r="B248" t="str">
        <f>H248&amp;" "&amp;COUNTIFS($H$3:H248,H248)</f>
        <v xml:space="preserve"> 0</v>
      </c>
      <c r="C248" s="34"/>
      <c r="D248" s="32"/>
      <c r="E248" s="32"/>
      <c r="F248" s="32"/>
      <c r="G248" s="32"/>
      <c r="H248" s="32"/>
      <c r="I248" s="105" t="str">
        <f t="shared" si="21"/>
        <v/>
      </c>
      <c r="J248" s="45"/>
      <c r="K248" s="45"/>
      <c r="L248" s="33"/>
      <c r="M248" s="32"/>
      <c r="N248" s="47"/>
      <c r="O248" s="88"/>
      <c r="P248" s="2" t="str">
        <f t="shared" si="18"/>
        <v/>
      </c>
      <c r="Q248" s="2" t="str">
        <f t="shared" si="19"/>
        <v/>
      </c>
      <c r="R248" s="156" t="str">
        <f t="shared" si="22"/>
        <v/>
      </c>
    </row>
    <row r="249" spans="1:18" x14ac:dyDescent="0.3">
      <c r="A249">
        <f t="shared" si="20"/>
        <v>0</v>
      </c>
      <c r="B249" t="str">
        <f>H249&amp;" "&amp;COUNTIFS($H$3:H249,H249)</f>
        <v xml:space="preserve"> 0</v>
      </c>
      <c r="C249" s="34"/>
      <c r="D249" s="32"/>
      <c r="E249" s="32"/>
      <c r="F249" s="32"/>
      <c r="G249" s="32"/>
      <c r="H249" s="32"/>
      <c r="I249" s="105" t="str">
        <f t="shared" si="21"/>
        <v/>
      </c>
      <c r="J249" s="45"/>
      <c r="K249" s="45"/>
      <c r="L249" s="33"/>
      <c r="M249" s="32"/>
      <c r="N249" s="47"/>
      <c r="O249" s="88"/>
      <c r="P249" s="2" t="str">
        <f t="shared" si="18"/>
        <v/>
      </c>
      <c r="Q249" s="2" t="str">
        <f t="shared" si="19"/>
        <v/>
      </c>
      <c r="R249" s="156" t="str">
        <f t="shared" si="22"/>
        <v/>
      </c>
    </row>
    <row r="250" spans="1:18" x14ac:dyDescent="0.3">
      <c r="A250">
        <f t="shared" si="20"/>
        <v>0</v>
      </c>
      <c r="B250" t="str">
        <f>H250&amp;" "&amp;COUNTIFS($H$3:H250,H250)</f>
        <v xml:space="preserve"> 0</v>
      </c>
      <c r="C250" s="34"/>
      <c r="D250" s="32"/>
      <c r="E250" s="32"/>
      <c r="F250" s="32"/>
      <c r="G250" s="32"/>
      <c r="H250" s="32"/>
      <c r="I250" s="105" t="str">
        <f t="shared" si="21"/>
        <v/>
      </c>
      <c r="J250" s="45"/>
      <c r="K250" s="45"/>
      <c r="L250" s="33"/>
      <c r="M250" s="32"/>
      <c r="N250" s="47"/>
      <c r="O250" s="88"/>
      <c r="P250" s="2" t="str">
        <f t="shared" si="18"/>
        <v/>
      </c>
      <c r="Q250" s="2" t="str">
        <f t="shared" si="19"/>
        <v/>
      </c>
      <c r="R250" s="156" t="str">
        <f t="shared" si="22"/>
        <v/>
      </c>
    </row>
    <row r="251" spans="1:18" x14ac:dyDescent="0.3">
      <c r="A251">
        <f t="shared" si="20"/>
        <v>0</v>
      </c>
      <c r="B251" t="str">
        <f>H251&amp;" "&amp;COUNTIFS($H$3:H251,H251)</f>
        <v xml:space="preserve"> 0</v>
      </c>
      <c r="C251" s="34"/>
      <c r="D251" s="32"/>
      <c r="E251" s="32"/>
      <c r="F251" s="32"/>
      <c r="G251" s="32"/>
      <c r="H251" s="32"/>
      <c r="I251" s="105" t="str">
        <f t="shared" si="21"/>
        <v/>
      </c>
      <c r="J251" s="45"/>
      <c r="K251" s="45"/>
      <c r="L251" s="33"/>
      <c r="M251" s="32"/>
      <c r="N251" s="47"/>
      <c r="O251" s="88"/>
      <c r="P251" s="2" t="str">
        <f t="shared" si="18"/>
        <v/>
      </c>
      <c r="Q251" s="2" t="str">
        <f t="shared" si="19"/>
        <v/>
      </c>
      <c r="R251" s="156" t="str">
        <f t="shared" si="22"/>
        <v/>
      </c>
    </row>
    <row r="252" spans="1:18" x14ac:dyDescent="0.3">
      <c r="A252">
        <f t="shared" si="20"/>
        <v>0</v>
      </c>
      <c r="B252" t="str">
        <f>H252&amp;" "&amp;COUNTIFS($H$3:H252,H252)</f>
        <v xml:space="preserve"> 0</v>
      </c>
      <c r="C252" s="34"/>
      <c r="D252" s="32"/>
      <c r="E252" s="32"/>
      <c r="F252" s="32"/>
      <c r="G252" s="32"/>
      <c r="H252" s="32"/>
      <c r="I252" s="105" t="str">
        <f t="shared" si="21"/>
        <v/>
      </c>
      <c r="J252" s="45"/>
      <c r="K252" s="45"/>
      <c r="L252" s="33"/>
      <c r="M252" s="32"/>
      <c r="N252" s="47"/>
      <c r="O252" s="88"/>
      <c r="P252" s="2" t="str">
        <f t="shared" si="18"/>
        <v/>
      </c>
      <c r="Q252" s="2" t="str">
        <f t="shared" si="19"/>
        <v/>
      </c>
      <c r="R252" s="156" t="str">
        <f t="shared" si="22"/>
        <v/>
      </c>
    </row>
    <row r="253" spans="1:18" x14ac:dyDescent="0.3">
      <c r="A253">
        <f t="shared" si="20"/>
        <v>0</v>
      </c>
      <c r="B253" t="str">
        <f>H253&amp;" "&amp;COUNTIFS($H$3:H253,H253)</f>
        <v xml:space="preserve"> 0</v>
      </c>
      <c r="C253" s="34"/>
      <c r="D253" s="32"/>
      <c r="E253" s="32"/>
      <c r="F253" s="32"/>
      <c r="G253" s="32"/>
      <c r="H253" s="32"/>
      <c r="I253" s="105" t="str">
        <f t="shared" si="21"/>
        <v/>
      </c>
      <c r="J253" s="45"/>
      <c r="K253" s="45"/>
      <c r="L253" s="33"/>
      <c r="M253" s="32"/>
      <c r="N253" s="47"/>
      <c r="O253" s="88"/>
      <c r="P253" s="2" t="str">
        <f t="shared" si="18"/>
        <v/>
      </c>
      <c r="Q253" s="2" t="str">
        <f t="shared" si="19"/>
        <v/>
      </c>
      <c r="R253" s="156" t="str">
        <f t="shared" si="22"/>
        <v/>
      </c>
    </row>
    <row r="254" spans="1:18" x14ac:dyDescent="0.3">
      <c r="A254">
        <f t="shared" si="20"/>
        <v>0</v>
      </c>
      <c r="B254" t="str">
        <f>H254&amp;" "&amp;COUNTIFS($H$3:H254,H254)</f>
        <v xml:space="preserve"> 0</v>
      </c>
      <c r="C254" s="34"/>
      <c r="D254" s="32"/>
      <c r="E254" s="32"/>
      <c r="F254" s="32"/>
      <c r="G254" s="32"/>
      <c r="H254" s="32"/>
      <c r="I254" s="105" t="str">
        <f t="shared" si="21"/>
        <v/>
      </c>
      <c r="J254" s="45"/>
      <c r="K254" s="45"/>
      <c r="L254" s="33"/>
      <c r="M254" s="32"/>
      <c r="N254" s="47"/>
      <c r="O254" s="88"/>
      <c r="P254" s="2" t="str">
        <f t="shared" si="18"/>
        <v/>
      </c>
      <c r="Q254" s="2" t="str">
        <f t="shared" si="19"/>
        <v/>
      </c>
      <c r="R254" s="156" t="str">
        <f t="shared" si="22"/>
        <v/>
      </c>
    </row>
    <row r="255" spans="1:18" x14ac:dyDescent="0.3">
      <c r="A255">
        <f t="shared" si="20"/>
        <v>0</v>
      </c>
      <c r="B255" t="str">
        <f>H255&amp;" "&amp;COUNTIFS($H$3:H255,H255)</f>
        <v xml:space="preserve"> 0</v>
      </c>
      <c r="C255" s="34"/>
      <c r="D255" s="32"/>
      <c r="E255" s="32"/>
      <c r="F255" s="32"/>
      <c r="G255" s="32"/>
      <c r="H255" s="32"/>
      <c r="I255" s="105" t="str">
        <f t="shared" si="21"/>
        <v/>
      </c>
      <c r="J255" s="45"/>
      <c r="K255" s="45"/>
      <c r="L255" s="33"/>
      <c r="M255" s="32"/>
      <c r="N255" s="47"/>
      <c r="O255" s="88"/>
      <c r="P255" s="2" t="str">
        <f t="shared" si="18"/>
        <v/>
      </c>
      <c r="Q255" s="2" t="str">
        <f t="shared" si="19"/>
        <v/>
      </c>
      <c r="R255" s="156" t="str">
        <f t="shared" si="22"/>
        <v/>
      </c>
    </row>
    <row r="256" spans="1:18" x14ac:dyDescent="0.3">
      <c r="A256">
        <f t="shared" si="20"/>
        <v>0</v>
      </c>
      <c r="B256" t="str">
        <f>H256&amp;" "&amp;COUNTIFS($H$3:H256,H256)</f>
        <v xml:space="preserve"> 0</v>
      </c>
      <c r="C256" s="34"/>
      <c r="D256" s="32"/>
      <c r="E256" s="32"/>
      <c r="F256" s="32"/>
      <c r="G256" s="32"/>
      <c r="H256" s="32"/>
      <c r="I256" s="105" t="str">
        <f t="shared" si="21"/>
        <v/>
      </c>
      <c r="J256" s="45"/>
      <c r="K256" s="45"/>
      <c r="L256" s="33"/>
      <c r="M256" s="32"/>
      <c r="N256" s="47"/>
      <c r="O256" s="88"/>
      <c r="P256" s="2" t="str">
        <f t="shared" si="18"/>
        <v/>
      </c>
      <c r="Q256" s="2" t="str">
        <f t="shared" si="19"/>
        <v/>
      </c>
      <c r="R256" s="156" t="str">
        <f t="shared" si="22"/>
        <v/>
      </c>
    </row>
    <row r="257" spans="1:18" x14ac:dyDescent="0.3">
      <c r="A257">
        <f t="shared" si="20"/>
        <v>0</v>
      </c>
      <c r="B257" t="str">
        <f>H257&amp;" "&amp;COUNTIFS($H$3:H257,H257)</f>
        <v xml:space="preserve"> 0</v>
      </c>
      <c r="C257" s="34"/>
      <c r="D257" s="32"/>
      <c r="E257" s="32"/>
      <c r="F257" s="32"/>
      <c r="G257" s="32"/>
      <c r="H257" s="32"/>
      <c r="I257" s="105" t="str">
        <f t="shared" si="21"/>
        <v/>
      </c>
      <c r="J257" s="45"/>
      <c r="K257" s="45"/>
      <c r="L257" s="33"/>
      <c r="M257" s="32"/>
      <c r="N257" s="47"/>
      <c r="O257" s="88"/>
      <c r="P257" s="2" t="str">
        <f t="shared" si="18"/>
        <v/>
      </c>
      <c r="Q257" s="2" t="str">
        <f t="shared" si="19"/>
        <v/>
      </c>
      <c r="R257" s="156" t="str">
        <f t="shared" si="22"/>
        <v/>
      </c>
    </row>
    <row r="258" spans="1:18" x14ac:dyDescent="0.3">
      <c r="A258">
        <f t="shared" si="20"/>
        <v>0</v>
      </c>
      <c r="B258" t="str">
        <f>H258&amp;" "&amp;COUNTIFS($H$3:H258,H258)</f>
        <v xml:space="preserve"> 0</v>
      </c>
      <c r="C258" s="34"/>
      <c r="D258" s="32"/>
      <c r="E258" s="32"/>
      <c r="F258" s="32"/>
      <c r="G258" s="32"/>
      <c r="H258" s="32"/>
      <c r="I258" s="105" t="str">
        <f t="shared" si="21"/>
        <v/>
      </c>
      <c r="J258" s="45"/>
      <c r="K258" s="45"/>
      <c r="L258" s="33"/>
      <c r="M258" s="32"/>
      <c r="N258" s="47"/>
      <c r="O258" s="88"/>
      <c r="P258" s="2" t="str">
        <f t="shared" si="18"/>
        <v/>
      </c>
      <c r="Q258" s="2" t="str">
        <f t="shared" si="19"/>
        <v/>
      </c>
      <c r="R258" s="156" t="str">
        <f t="shared" si="22"/>
        <v/>
      </c>
    </row>
    <row r="259" spans="1:18" x14ac:dyDescent="0.3">
      <c r="A259">
        <f t="shared" si="20"/>
        <v>0</v>
      </c>
      <c r="B259" t="str">
        <f>H259&amp;" "&amp;COUNTIFS($H$3:H259,H259)</f>
        <v xml:space="preserve"> 0</v>
      </c>
      <c r="C259" s="34"/>
      <c r="D259" s="32"/>
      <c r="E259" s="32"/>
      <c r="F259" s="32"/>
      <c r="G259" s="32"/>
      <c r="H259" s="32"/>
      <c r="I259" s="105" t="str">
        <f t="shared" si="21"/>
        <v/>
      </c>
      <c r="J259" s="45"/>
      <c r="K259" s="45"/>
      <c r="L259" s="33"/>
      <c r="M259" s="32"/>
      <c r="N259" s="47"/>
      <c r="O259" s="88"/>
      <c r="P259" s="2" t="str">
        <f t="shared" ref="P259:P322" si="23">IFERROR(VLOOKUP(O259,DAFTAR_TOKO,2,FALSE),"")</f>
        <v/>
      </c>
      <c r="Q259" s="2" t="str">
        <f t="shared" ref="Q259:Q322" si="24">IFERROR(VLOOKUP(O259,DAFTAR_TOKO,3,FALSE),"")</f>
        <v/>
      </c>
      <c r="R259" s="156" t="str">
        <f t="shared" si="22"/>
        <v/>
      </c>
    </row>
    <row r="260" spans="1:18" x14ac:dyDescent="0.3">
      <c r="A260">
        <f t="shared" ref="A260:A323" si="25">H260</f>
        <v>0</v>
      </c>
      <c r="B260" t="str">
        <f>H260&amp;" "&amp;COUNTIFS($H$3:H260,H260)</f>
        <v xml:space="preserve"> 0</v>
      </c>
      <c r="C260" s="34"/>
      <c r="D260" s="32"/>
      <c r="E260" s="32"/>
      <c r="F260" s="32"/>
      <c r="G260" s="32"/>
      <c r="H260" s="32"/>
      <c r="I260" s="105" t="str">
        <f t="shared" ref="I260:I323" si="26">IF(K260="","",L260/K260)</f>
        <v/>
      </c>
      <c r="J260" s="45"/>
      <c r="K260" s="45"/>
      <c r="L260" s="33"/>
      <c r="M260" s="32"/>
      <c r="N260" s="47"/>
      <c r="O260" s="88"/>
      <c r="P260" s="2" t="str">
        <f t="shared" si="23"/>
        <v/>
      </c>
      <c r="Q260" s="2" t="str">
        <f t="shared" si="24"/>
        <v/>
      </c>
      <c r="R260" s="156" t="str">
        <f t="shared" ref="R260:R323" si="27">IF(C260="","",C260)</f>
        <v/>
      </c>
    </row>
    <row r="261" spans="1:18" x14ac:dyDescent="0.3">
      <c r="A261">
        <f t="shared" si="25"/>
        <v>0</v>
      </c>
      <c r="B261" t="str">
        <f>H261&amp;" "&amp;COUNTIFS($H$3:H261,H261)</f>
        <v xml:space="preserve"> 0</v>
      </c>
      <c r="C261" s="34"/>
      <c r="D261" s="32"/>
      <c r="E261" s="32"/>
      <c r="F261" s="32"/>
      <c r="G261" s="32"/>
      <c r="H261" s="32"/>
      <c r="I261" s="105" t="str">
        <f t="shared" si="26"/>
        <v/>
      </c>
      <c r="J261" s="45"/>
      <c r="K261" s="45"/>
      <c r="L261" s="33"/>
      <c r="M261" s="32"/>
      <c r="N261" s="47"/>
      <c r="O261" s="88"/>
      <c r="P261" s="2" t="str">
        <f t="shared" si="23"/>
        <v/>
      </c>
      <c r="Q261" s="2" t="str">
        <f t="shared" si="24"/>
        <v/>
      </c>
      <c r="R261" s="156" t="str">
        <f t="shared" si="27"/>
        <v/>
      </c>
    </row>
    <row r="262" spans="1:18" x14ac:dyDescent="0.3">
      <c r="A262">
        <f t="shared" si="25"/>
        <v>0</v>
      </c>
      <c r="B262" t="str">
        <f>H262&amp;" "&amp;COUNTIFS($H$3:H262,H262)</f>
        <v xml:space="preserve"> 0</v>
      </c>
      <c r="C262" s="34"/>
      <c r="D262" s="32"/>
      <c r="E262" s="32"/>
      <c r="F262" s="32"/>
      <c r="G262" s="32"/>
      <c r="H262" s="32"/>
      <c r="I262" s="105" t="str">
        <f t="shared" si="26"/>
        <v/>
      </c>
      <c r="J262" s="45"/>
      <c r="K262" s="45"/>
      <c r="L262" s="33"/>
      <c r="M262" s="32"/>
      <c r="N262" s="47"/>
      <c r="O262" s="88"/>
      <c r="P262" s="2" t="str">
        <f t="shared" si="23"/>
        <v/>
      </c>
      <c r="Q262" s="2" t="str">
        <f t="shared" si="24"/>
        <v/>
      </c>
      <c r="R262" s="156" t="str">
        <f t="shared" si="27"/>
        <v/>
      </c>
    </row>
    <row r="263" spans="1:18" x14ac:dyDescent="0.3">
      <c r="A263">
        <f t="shared" si="25"/>
        <v>0</v>
      </c>
      <c r="B263" t="str">
        <f>H263&amp;" "&amp;COUNTIFS($H$3:H263,H263)</f>
        <v xml:space="preserve"> 0</v>
      </c>
      <c r="C263" s="34"/>
      <c r="D263" s="32"/>
      <c r="E263" s="32"/>
      <c r="F263" s="32"/>
      <c r="G263" s="32"/>
      <c r="H263" s="32"/>
      <c r="I263" s="105" t="str">
        <f t="shared" si="26"/>
        <v/>
      </c>
      <c r="J263" s="45"/>
      <c r="K263" s="45"/>
      <c r="L263" s="33"/>
      <c r="M263" s="32"/>
      <c r="N263" s="47"/>
      <c r="O263" s="88"/>
      <c r="P263" s="2" t="str">
        <f t="shared" si="23"/>
        <v/>
      </c>
      <c r="Q263" s="2" t="str">
        <f t="shared" si="24"/>
        <v/>
      </c>
      <c r="R263" s="156" t="str">
        <f t="shared" si="27"/>
        <v/>
      </c>
    </row>
    <row r="264" spans="1:18" x14ac:dyDescent="0.3">
      <c r="A264">
        <f t="shared" si="25"/>
        <v>0</v>
      </c>
      <c r="B264" t="str">
        <f>H264&amp;" "&amp;COUNTIFS($H$3:H264,H264)</f>
        <v xml:space="preserve"> 0</v>
      </c>
      <c r="C264" s="34"/>
      <c r="D264" s="32"/>
      <c r="E264" s="32"/>
      <c r="F264" s="32"/>
      <c r="G264" s="32"/>
      <c r="H264" s="32"/>
      <c r="I264" s="105" t="str">
        <f t="shared" si="26"/>
        <v/>
      </c>
      <c r="J264" s="45"/>
      <c r="K264" s="45"/>
      <c r="L264" s="33"/>
      <c r="M264" s="32"/>
      <c r="N264" s="47"/>
      <c r="O264" s="88"/>
      <c r="P264" s="2" t="str">
        <f t="shared" si="23"/>
        <v/>
      </c>
      <c r="Q264" s="2" t="str">
        <f t="shared" si="24"/>
        <v/>
      </c>
      <c r="R264" s="156" t="str">
        <f t="shared" si="27"/>
        <v/>
      </c>
    </row>
    <row r="265" spans="1:18" x14ac:dyDescent="0.3">
      <c r="A265">
        <f t="shared" si="25"/>
        <v>0</v>
      </c>
      <c r="B265" t="str">
        <f>H265&amp;" "&amp;COUNTIFS($H$3:H265,H265)</f>
        <v xml:space="preserve"> 0</v>
      </c>
      <c r="C265" s="34"/>
      <c r="D265" s="32"/>
      <c r="E265" s="32"/>
      <c r="F265" s="32"/>
      <c r="G265" s="32"/>
      <c r="H265" s="32"/>
      <c r="I265" s="105" t="str">
        <f t="shared" si="26"/>
        <v/>
      </c>
      <c r="J265" s="45"/>
      <c r="K265" s="45"/>
      <c r="L265" s="33"/>
      <c r="M265" s="32"/>
      <c r="N265" s="47"/>
      <c r="O265" s="88"/>
      <c r="P265" s="2" t="str">
        <f t="shared" si="23"/>
        <v/>
      </c>
      <c r="Q265" s="2" t="str">
        <f t="shared" si="24"/>
        <v/>
      </c>
      <c r="R265" s="156" t="str">
        <f t="shared" si="27"/>
        <v/>
      </c>
    </row>
    <row r="266" spans="1:18" x14ac:dyDescent="0.3">
      <c r="A266">
        <f t="shared" si="25"/>
        <v>0</v>
      </c>
      <c r="B266" t="str">
        <f>H266&amp;" "&amp;COUNTIFS($H$3:H266,H266)</f>
        <v xml:space="preserve"> 0</v>
      </c>
      <c r="C266" s="34"/>
      <c r="D266" s="32"/>
      <c r="E266" s="32"/>
      <c r="F266" s="32"/>
      <c r="G266" s="32"/>
      <c r="H266" s="32"/>
      <c r="I266" s="105" t="str">
        <f t="shared" si="26"/>
        <v/>
      </c>
      <c r="J266" s="45"/>
      <c r="K266" s="45"/>
      <c r="L266" s="33"/>
      <c r="M266" s="32"/>
      <c r="N266" s="47"/>
      <c r="O266" s="88"/>
      <c r="P266" s="2" t="str">
        <f t="shared" si="23"/>
        <v/>
      </c>
      <c r="Q266" s="2" t="str">
        <f t="shared" si="24"/>
        <v/>
      </c>
      <c r="R266" s="156" t="str">
        <f t="shared" si="27"/>
        <v/>
      </c>
    </row>
    <row r="267" spans="1:18" x14ac:dyDescent="0.3">
      <c r="A267">
        <f t="shared" si="25"/>
        <v>0</v>
      </c>
      <c r="B267" t="str">
        <f>H267&amp;" "&amp;COUNTIFS($H$3:H267,H267)</f>
        <v xml:space="preserve"> 0</v>
      </c>
      <c r="C267" s="34"/>
      <c r="D267" s="32"/>
      <c r="E267" s="32"/>
      <c r="F267" s="32"/>
      <c r="G267" s="32"/>
      <c r="H267" s="32"/>
      <c r="I267" s="105" t="str">
        <f t="shared" si="26"/>
        <v/>
      </c>
      <c r="J267" s="45"/>
      <c r="K267" s="45"/>
      <c r="L267" s="33"/>
      <c r="M267" s="32"/>
      <c r="N267" s="47"/>
      <c r="O267" s="88"/>
      <c r="P267" s="2" t="str">
        <f t="shared" si="23"/>
        <v/>
      </c>
      <c r="Q267" s="2" t="str">
        <f t="shared" si="24"/>
        <v/>
      </c>
      <c r="R267" s="156" t="str">
        <f t="shared" si="27"/>
        <v/>
      </c>
    </row>
    <row r="268" spans="1:18" x14ac:dyDescent="0.3">
      <c r="A268">
        <f t="shared" si="25"/>
        <v>0</v>
      </c>
      <c r="B268" t="str">
        <f>H268&amp;" "&amp;COUNTIFS($H$3:H268,H268)</f>
        <v xml:space="preserve"> 0</v>
      </c>
      <c r="C268" s="34"/>
      <c r="D268" s="32"/>
      <c r="E268" s="32"/>
      <c r="F268" s="32"/>
      <c r="G268" s="32"/>
      <c r="H268" s="32"/>
      <c r="I268" s="105" t="str">
        <f t="shared" si="26"/>
        <v/>
      </c>
      <c r="J268" s="45"/>
      <c r="K268" s="45"/>
      <c r="L268" s="33"/>
      <c r="M268" s="32"/>
      <c r="N268" s="47"/>
      <c r="O268" s="88"/>
      <c r="P268" s="2" t="str">
        <f t="shared" si="23"/>
        <v/>
      </c>
      <c r="Q268" s="2" t="str">
        <f t="shared" si="24"/>
        <v/>
      </c>
      <c r="R268" s="156" t="str">
        <f t="shared" si="27"/>
        <v/>
      </c>
    </row>
    <row r="269" spans="1:18" x14ac:dyDescent="0.3">
      <c r="A269">
        <f t="shared" si="25"/>
        <v>0</v>
      </c>
      <c r="B269" t="str">
        <f>H269&amp;" "&amp;COUNTIFS($H$3:H269,H269)</f>
        <v xml:space="preserve"> 0</v>
      </c>
      <c r="C269" s="34"/>
      <c r="D269" s="32"/>
      <c r="E269" s="32"/>
      <c r="F269" s="32"/>
      <c r="G269" s="32"/>
      <c r="H269" s="32"/>
      <c r="I269" s="105" t="str">
        <f t="shared" si="26"/>
        <v/>
      </c>
      <c r="J269" s="45"/>
      <c r="K269" s="45"/>
      <c r="L269" s="33"/>
      <c r="M269" s="32"/>
      <c r="N269" s="47"/>
      <c r="O269" s="88"/>
      <c r="P269" s="2" t="str">
        <f t="shared" si="23"/>
        <v/>
      </c>
      <c r="Q269" s="2" t="str">
        <f t="shared" si="24"/>
        <v/>
      </c>
      <c r="R269" s="156" t="str">
        <f t="shared" si="27"/>
        <v/>
      </c>
    </row>
    <row r="270" spans="1:18" x14ac:dyDescent="0.3">
      <c r="A270">
        <f t="shared" si="25"/>
        <v>0</v>
      </c>
      <c r="B270" t="str">
        <f>H270&amp;" "&amp;COUNTIFS($H$3:H270,H270)</f>
        <v xml:space="preserve"> 0</v>
      </c>
      <c r="C270" s="34"/>
      <c r="D270" s="32"/>
      <c r="E270" s="32"/>
      <c r="F270" s="32"/>
      <c r="G270" s="32"/>
      <c r="H270" s="32"/>
      <c r="I270" s="105" t="str">
        <f t="shared" si="26"/>
        <v/>
      </c>
      <c r="J270" s="45"/>
      <c r="K270" s="45"/>
      <c r="L270" s="33"/>
      <c r="M270" s="32"/>
      <c r="N270" s="47"/>
      <c r="O270" s="88"/>
      <c r="P270" s="2" t="str">
        <f t="shared" si="23"/>
        <v/>
      </c>
      <c r="Q270" s="2" t="str">
        <f t="shared" si="24"/>
        <v/>
      </c>
      <c r="R270" s="156" t="str">
        <f t="shared" si="27"/>
        <v/>
      </c>
    </row>
    <row r="271" spans="1:18" x14ac:dyDescent="0.3">
      <c r="A271">
        <f t="shared" si="25"/>
        <v>0</v>
      </c>
      <c r="B271" t="str">
        <f>H271&amp;" "&amp;COUNTIFS($H$3:H271,H271)</f>
        <v xml:space="preserve"> 0</v>
      </c>
      <c r="C271" s="34"/>
      <c r="D271" s="32"/>
      <c r="E271" s="32"/>
      <c r="F271" s="32"/>
      <c r="G271" s="32"/>
      <c r="H271" s="32"/>
      <c r="I271" s="105" t="str">
        <f t="shared" si="26"/>
        <v/>
      </c>
      <c r="J271" s="45"/>
      <c r="K271" s="45"/>
      <c r="L271" s="33"/>
      <c r="M271" s="32"/>
      <c r="N271" s="47"/>
      <c r="O271" s="88"/>
      <c r="P271" s="2" t="str">
        <f t="shared" si="23"/>
        <v/>
      </c>
      <c r="Q271" s="2" t="str">
        <f t="shared" si="24"/>
        <v/>
      </c>
      <c r="R271" s="156" t="str">
        <f t="shared" si="27"/>
        <v/>
      </c>
    </row>
    <row r="272" spans="1:18" x14ac:dyDescent="0.3">
      <c r="A272">
        <f t="shared" si="25"/>
        <v>0</v>
      </c>
      <c r="B272" t="str">
        <f>H272&amp;" "&amp;COUNTIFS($H$3:H272,H272)</f>
        <v xml:space="preserve"> 0</v>
      </c>
      <c r="C272" s="34"/>
      <c r="D272" s="32"/>
      <c r="E272" s="32"/>
      <c r="F272" s="32"/>
      <c r="G272" s="32"/>
      <c r="H272" s="32"/>
      <c r="I272" s="105" t="str">
        <f t="shared" si="26"/>
        <v/>
      </c>
      <c r="J272" s="45"/>
      <c r="K272" s="45"/>
      <c r="L272" s="33"/>
      <c r="M272" s="32"/>
      <c r="N272" s="47"/>
      <c r="O272" s="88"/>
      <c r="P272" s="2" t="str">
        <f t="shared" si="23"/>
        <v/>
      </c>
      <c r="Q272" s="2" t="str">
        <f t="shared" si="24"/>
        <v/>
      </c>
      <c r="R272" s="156" t="str">
        <f t="shared" si="27"/>
        <v/>
      </c>
    </row>
    <row r="273" spans="1:18" x14ac:dyDescent="0.3">
      <c r="A273">
        <f t="shared" si="25"/>
        <v>0</v>
      </c>
      <c r="B273" t="str">
        <f>H273&amp;" "&amp;COUNTIFS($H$3:H273,H273)</f>
        <v xml:space="preserve"> 0</v>
      </c>
      <c r="C273" s="34"/>
      <c r="D273" s="32"/>
      <c r="E273" s="32"/>
      <c r="F273" s="32"/>
      <c r="G273" s="32"/>
      <c r="H273" s="32"/>
      <c r="I273" s="105" t="str">
        <f t="shared" si="26"/>
        <v/>
      </c>
      <c r="J273" s="45"/>
      <c r="K273" s="45"/>
      <c r="L273" s="33"/>
      <c r="M273" s="32"/>
      <c r="N273" s="47"/>
      <c r="O273" s="88"/>
      <c r="P273" s="2" t="str">
        <f t="shared" si="23"/>
        <v/>
      </c>
      <c r="Q273" s="2" t="str">
        <f t="shared" si="24"/>
        <v/>
      </c>
      <c r="R273" s="156" t="str">
        <f t="shared" si="27"/>
        <v/>
      </c>
    </row>
    <row r="274" spans="1:18" x14ac:dyDescent="0.3">
      <c r="A274">
        <f t="shared" si="25"/>
        <v>0</v>
      </c>
      <c r="B274" t="str">
        <f>H274&amp;" "&amp;COUNTIFS($H$3:H274,H274)</f>
        <v xml:space="preserve"> 0</v>
      </c>
      <c r="C274" s="34"/>
      <c r="D274" s="32"/>
      <c r="E274" s="32"/>
      <c r="F274" s="32"/>
      <c r="G274" s="32"/>
      <c r="H274" s="32"/>
      <c r="I274" s="105" t="str">
        <f t="shared" si="26"/>
        <v/>
      </c>
      <c r="J274" s="45"/>
      <c r="K274" s="45"/>
      <c r="L274" s="33"/>
      <c r="M274" s="32"/>
      <c r="N274" s="47"/>
      <c r="O274" s="88"/>
      <c r="P274" s="2" t="str">
        <f t="shared" si="23"/>
        <v/>
      </c>
      <c r="Q274" s="2" t="str">
        <f t="shared" si="24"/>
        <v/>
      </c>
      <c r="R274" s="156" t="str">
        <f t="shared" si="27"/>
        <v/>
      </c>
    </row>
    <row r="275" spans="1:18" x14ac:dyDescent="0.3">
      <c r="A275">
        <f t="shared" si="25"/>
        <v>0</v>
      </c>
      <c r="B275" t="str">
        <f>H275&amp;" "&amp;COUNTIFS($H$3:H275,H275)</f>
        <v xml:space="preserve"> 0</v>
      </c>
      <c r="C275" s="34"/>
      <c r="D275" s="32"/>
      <c r="E275" s="32"/>
      <c r="F275" s="32"/>
      <c r="G275" s="32"/>
      <c r="H275" s="32"/>
      <c r="I275" s="105" t="str">
        <f t="shared" si="26"/>
        <v/>
      </c>
      <c r="J275" s="45"/>
      <c r="K275" s="45"/>
      <c r="L275" s="33"/>
      <c r="M275" s="32"/>
      <c r="N275" s="47"/>
      <c r="O275" s="88"/>
      <c r="P275" s="2" t="str">
        <f t="shared" si="23"/>
        <v/>
      </c>
      <c r="Q275" s="2" t="str">
        <f t="shared" si="24"/>
        <v/>
      </c>
      <c r="R275" s="156" t="str">
        <f t="shared" si="27"/>
        <v/>
      </c>
    </row>
    <row r="276" spans="1:18" x14ac:dyDescent="0.3">
      <c r="A276">
        <f t="shared" si="25"/>
        <v>0</v>
      </c>
      <c r="B276" t="str">
        <f>H276&amp;" "&amp;COUNTIFS($H$3:H276,H276)</f>
        <v xml:space="preserve"> 0</v>
      </c>
      <c r="C276" s="34"/>
      <c r="D276" s="32"/>
      <c r="E276" s="32"/>
      <c r="F276" s="32"/>
      <c r="G276" s="32"/>
      <c r="H276" s="32"/>
      <c r="I276" s="105" t="str">
        <f t="shared" si="26"/>
        <v/>
      </c>
      <c r="J276" s="45"/>
      <c r="K276" s="45"/>
      <c r="L276" s="33"/>
      <c r="M276" s="32"/>
      <c r="N276" s="47"/>
      <c r="O276" s="88"/>
      <c r="P276" s="2" t="str">
        <f t="shared" si="23"/>
        <v/>
      </c>
      <c r="Q276" s="2" t="str">
        <f t="shared" si="24"/>
        <v/>
      </c>
      <c r="R276" s="156" t="str">
        <f t="shared" si="27"/>
        <v/>
      </c>
    </row>
    <row r="277" spans="1:18" x14ac:dyDescent="0.3">
      <c r="A277">
        <f t="shared" si="25"/>
        <v>0</v>
      </c>
      <c r="B277" t="str">
        <f>H277&amp;" "&amp;COUNTIFS($H$3:H277,H277)</f>
        <v xml:space="preserve"> 0</v>
      </c>
      <c r="C277" s="34"/>
      <c r="D277" s="32"/>
      <c r="E277" s="32"/>
      <c r="F277" s="32"/>
      <c r="G277" s="32"/>
      <c r="H277" s="32"/>
      <c r="I277" s="105" t="str">
        <f t="shared" si="26"/>
        <v/>
      </c>
      <c r="J277" s="45"/>
      <c r="K277" s="45"/>
      <c r="L277" s="33"/>
      <c r="M277" s="32"/>
      <c r="N277" s="47"/>
      <c r="O277" s="88"/>
      <c r="P277" s="2" t="str">
        <f t="shared" si="23"/>
        <v/>
      </c>
      <c r="Q277" s="2" t="str">
        <f t="shared" si="24"/>
        <v/>
      </c>
      <c r="R277" s="156" t="str">
        <f t="shared" si="27"/>
        <v/>
      </c>
    </row>
    <row r="278" spans="1:18" x14ac:dyDescent="0.3">
      <c r="A278">
        <f t="shared" si="25"/>
        <v>0</v>
      </c>
      <c r="B278" t="str">
        <f>H278&amp;" "&amp;COUNTIFS($H$3:H278,H278)</f>
        <v xml:space="preserve"> 0</v>
      </c>
      <c r="C278" s="34"/>
      <c r="D278" s="32"/>
      <c r="E278" s="32"/>
      <c r="F278" s="32"/>
      <c r="G278" s="32"/>
      <c r="H278" s="32"/>
      <c r="I278" s="105" t="str">
        <f t="shared" si="26"/>
        <v/>
      </c>
      <c r="J278" s="45"/>
      <c r="K278" s="45"/>
      <c r="L278" s="33"/>
      <c r="M278" s="32"/>
      <c r="N278" s="47"/>
      <c r="O278" s="88"/>
      <c r="P278" s="2" t="str">
        <f t="shared" si="23"/>
        <v/>
      </c>
      <c r="Q278" s="2" t="str">
        <f t="shared" si="24"/>
        <v/>
      </c>
      <c r="R278" s="156" t="str">
        <f t="shared" si="27"/>
        <v/>
      </c>
    </row>
    <row r="279" spans="1:18" x14ac:dyDescent="0.3">
      <c r="A279">
        <f t="shared" si="25"/>
        <v>0</v>
      </c>
      <c r="B279" t="str">
        <f>H279&amp;" "&amp;COUNTIFS($H$3:H279,H279)</f>
        <v xml:space="preserve"> 0</v>
      </c>
      <c r="C279" s="34"/>
      <c r="D279" s="32"/>
      <c r="E279" s="32"/>
      <c r="F279" s="32"/>
      <c r="G279" s="32"/>
      <c r="H279" s="32"/>
      <c r="I279" s="105" t="str">
        <f t="shared" si="26"/>
        <v/>
      </c>
      <c r="J279" s="45"/>
      <c r="K279" s="45"/>
      <c r="L279" s="33"/>
      <c r="M279" s="32"/>
      <c r="N279" s="47"/>
      <c r="O279" s="88"/>
      <c r="P279" s="2" t="str">
        <f t="shared" si="23"/>
        <v/>
      </c>
      <c r="Q279" s="2" t="str">
        <f t="shared" si="24"/>
        <v/>
      </c>
      <c r="R279" s="156" t="str">
        <f t="shared" si="27"/>
        <v/>
      </c>
    </row>
    <row r="280" spans="1:18" x14ac:dyDescent="0.3">
      <c r="A280">
        <f t="shared" si="25"/>
        <v>0</v>
      </c>
      <c r="B280" t="str">
        <f>H280&amp;" "&amp;COUNTIFS($H$3:H280,H280)</f>
        <v xml:space="preserve"> 0</v>
      </c>
      <c r="C280" s="34"/>
      <c r="D280" s="32"/>
      <c r="E280" s="32"/>
      <c r="F280" s="32"/>
      <c r="G280" s="32"/>
      <c r="H280" s="32"/>
      <c r="I280" s="105" t="str">
        <f t="shared" si="26"/>
        <v/>
      </c>
      <c r="J280" s="45"/>
      <c r="K280" s="45"/>
      <c r="L280" s="33"/>
      <c r="M280" s="32"/>
      <c r="N280" s="47"/>
      <c r="O280" s="88"/>
      <c r="P280" s="2" t="str">
        <f t="shared" si="23"/>
        <v/>
      </c>
      <c r="Q280" s="2" t="str">
        <f t="shared" si="24"/>
        <v/>
      </c>
      <c r="R280" s="156" t="str">
        <f t="shared" si="27"/>
        <v/>
      </c>
    </row>
    <row r="281" spans="1:18" x14ac:dyDescent="0.3">
      <c r="A281">
        <f t="shared" si="25"/>
        <v>0</v>
      </c>
      <c r="B281" t="str">
        <f>H281&amp;" "&amp;COUNTIFS($H$3:H281,H281)</f>
        <v xml:space="preserve"> 0</v>
      </c>
      <c r="C281" s="34"/>
      <c r="D281" s="32"/>
      <c r="E281" s="32"/>
      <c r="F281" s="32"/>
      <c r="G281" s="32"/>
      <c r="H281" s="32"/>
      <c r="I281" s="105" t="str">
        <f t="shared" si="26"/>
        <v/>
      </c>
      <c r="J281" s="45"/>
      <c r="K281" s="45"/>
      <c r="L281" s="33"/>
      <c r="M281" s="32"/>
      <c r="N281" s="47"/>
      <c r="O281" s="88"/>
      <c r="P281" s="2" t="str">
        <f t="shared" si="23"/>
        <v/>
      </c>
      <c r="Q281" s="2" t="str">
        <f t="shared" si="24"/>
        <v/>
      </c>
      <c r="R281" s="156" t="str">
        <f t="shared" si="27"/>
        <v/>
      </c>
    </row>
    <row r="282" spans="1:18" x14ac:dyDescent="0.3">
      <c r="A282">
        <f t="shared" si="25"/>
        <v>0</v>
      </c>
      <c r="B282" t="str">
        <f>H282&amp;" "&amp;COUNTIFS($H$3:H282,H282)</f>
        <v xml:space="preserve"> 0</v>
      </c>
      <c r="C282" s="34"/>
      <c r="D282" s="32"/>
      <c r="E282" s="32"/>
      <c r="F282" s="32"/>
      <c r="G282" s="32"/>
      <c r="H282" s="32"/>
      <c r="I282" s="105" t="str">
        <f t="shared" si="26"/>
        <v/>
      </c>
      <c r="J282" s="45"/>
      <c r="K282" s="45"/>
      <c r="L282" s="33"/>
      <c r="M282" s="32"/>
      <c r="N282" s="47"/>
      <c r="O282" s="88"/>
      <c r="P282" s="2" t="str">
        <f t="shared" si="23"/>
        <v/>
      </c>
      <c r="Q282" s="2" t="str">
        <f t="shared" si="24"/>
        <v/>
      </c>
      <c r="R282" s="156" t="str">
        <f t="shared" si="27"/>
        <v/>
      </c>
    </row>
    <row r="283" spans="1:18" x14ac:dyDescent="0.3">
      <c r="A283">
        <f t="shared" si="25"/>
        <v>0</v>
      </c>
      <c r="B283" t="str">
        <f>H283&amp;" "&amp;COUNTIFS($H$3:H283,H283)</f>
        <v xml:space="preserve"> 0</v>
      </c>
      <c r="C283" s="34"/>
      <c r="D283" s="32"/>
      <c r="E283" s="32"/>
      <c r="F283" s="32"/>
      <c r="G283" s="32"/>
      <c r="H283" s="32"/>
      <c r="I283" s="105" t="str">
        <f t="shared" si="26"/>
        <v/>
      </c>
      <c r="J283" s="45"/>
      <c r="K283" s="45"/>
      <c r="L283" s="33"/>
      <c r="M283" s="32"/>
      <c r="N283" s="47"/>
      <c r="O283" s="88"/>
      <c r="P283" s="2" t="str">
        <f t="shared" si="23"/>
        <v/>
      </c>
      <c r="Q283" s="2" t="str">
        <f t="shared" si="24"/>
        <v/>
      </c>
      <c r="R283" s="156" t="str">
        <f t="shared" si="27"/>
        <v/>
      </c>
    </row>
    <row r="284" spans="1:18" x14ac:dyDescent="0.3">
      <c r="A284">
        <f t="shared" si="25"/>
        <v>0</v>
      </c>
      <c r="B284" t="str">
        <f>H284&amp;" "&amp;COUNTIFS($H$3:H284,H284)</f>
        <v xml:space="preserve"> 0</v>
      </c>
      <c r="C284" s="34"/>
      <c r="D284" s="32"/>
      <c r="E284" s="32"/>
      <c r="F284" s="32"/>
      <c r="G284" s="32"/>
      <c r="H284" s="32"/>
      <c r="I284" s="105" t="str">
        <f t="shared" si="26"/>
        <v/>
      </c>
      <c r="J284" s="45"/>
      <c r="K284" s="45"/>
      <c r="L284" s="33"/>
      <c r="M284" s="32"/>
      <c r="N284" s="47"/>
      <c r="O284" s="88"/>
      <c r="P284" s="2" t="str">
        <f t="shared" si="23"/>
        <v/>
      </c>
      <c r="Q284" s="2" t="str">
        <f t="shared" si="24"/>
        <v/>
      </c>
      <c r="R284" s="156" t="str">
        <f t="shared" si="27"/>
        <v/>
      </c>
    </row>
    <row r="285" spans="1:18" x14ac:dyDescent="0.3">
      <c r="A285">
        <f t="shared" si="25"/>
        <v>0</v>
      </c>
      <c r="B285" t="str">
        <f>H285&amp;" "&amp;COUNTIFS($H$3:H285,H285)</f>
        <v xml:space="preserve"> 0</v>
      </c>
      <c r="C285" s="34"/>
      <c r="D285" s="32"/>
      <c r="E285" s="32"/>
      <c r="F285" s="32"/>
      <c r="G285" s="32"/>
      <c r="H285" s="32"/>
      <c r="I285" s="105" t="str">
        <f t="shared" si="26"/>
        <v/>
      </c>
      <c r="J285" s="45"/>
      <c r="K285" s="45"/>
      <c r="L285" s="33"/>
      <c r="M285" s="32"/>
      <c r="N285" s="47"/>
      <c r="O285" s="88"/>
      <c r="P285" s="2" t="str">
        <f t="shared" si="23"/>
        <v/>
      </c>
      <c r="Q285" s="2" t="str">
        <f t="shared" si="24"/>
        <v/>
      </c>
      <c r="R285" s="156" t="str">
        <f t="shared" si="27"/>
        <v/>
      </c>
    </row>
    <row r="286" spans="1:18" x14ac:dyDescent="0.3">
      <c r="A286">
        <f t="shared" si="25"/>
        <v>0</v>
      </c>
      <c r="B286" t="str">
        <f>H286&amp;" "&amp;COUNTIFS($H$3:H286,H286)</f>
        <v xml:space="preserve"> 0</v>
      </c>
      <c r="C286" s="34"/>
      <c r="D286" s="32"/>
      <c r="E286" s="32"/>
      <c r="F286" s="32"/>
      <c r="G286" s="32"/>
      <c r="H286" s="32"/>
      <c r="I286" s="105" t="str">
        <f t="shared" si="26"/>
        <v/>
      </c>
      <c r="J286" s="45"/>
      <c r="K286" s="45"/>
      <c r="L286" s="33"/>
      <c r="M286" s="32"/>
      <c r="N286" s="47"/>
      <c r="O286" s="88"/>
      <c r="P286" s="2" t="str">
        <f t="shared" si="23"/>
        <v/>
      </c>
      <c r="Q286" s="2" t="str">
        <f t="shared" si="24"/>
        <v/>
      </c>
      <c r="R286" s="156" t="str">
        <f t="shared" si="27"/>
        <v/>
      </c>
    </row>
    <row r="287" spans="1:18" x14ac:dyDescent="0.3">
      <c r="A287">
        <f t="shared" si="25"/>
        <v>0</v>
      </c>
      <c r="B287" t="str">
        <f>H287&amp;" "&amp;COUNTIFS($H$3:H287,H287)</f>
        <v xml:space="preserve"> 0</v>
      </c>
      <c r="C287" s="34"/>
      <c r="D287" s="32"/>
      <c r="E287" s="32"/>
      <c r="F287" s="32"/>
      <c r="G287" s="32"/>
      <c r="H287" s="32"/>
      <c r="I287" s="105" t="str">
        <f t="shared" si="26"/>
        <v/>
      </c>
      <c r="J287" s="45"/>
      <c r="K287" s="45"/>
      <c r="L287" s="33"/>
      <c r="M287" s="32"/>
      <c r="N287" s="47"/>
      <c r="O287" s="88"/>
      <c r="P287" s="2" t="str">
        <f t="shared" si="23"/>
        <v/>
      </c>
      <c r="Q287" s="2" t="str">
        <f t="shared" si="24"/>
        <v/>
      </c>
      <c r="R287" s="156" t="str">
        <f t="shared" si="27"/>
        <v/>
      </c>
    </row>
    <row r="288" spans="1:18" x14ac:dyDescent="0.3">
      <c r="A288">
        <f t="shared" si="25"/>
        <v>0</v>
      </c>
      <c r="B288" t="str">
        <f>H288&amp;" "&amp;COUNTIFS($H$3:H288,H288)</f>
        <v xml:space="preserve"> 0</v>
      </c>
      <c r="C288" s="34"/>
      <c r="D288" s="32"/>
      <c r="E288" s="32"/>
      <c r="F288" s="32"/>
      <c r="G288" s="32"/>
      <c r="H288" s="32"/>
      <c r="I288" s="105" t="str">
        <f t="shared" si="26"/>
        <v/>
      </c>
      <c r="J288" s="45"/>
      <c r="K288" s="45"/>
      <c r="L288" s="33"/>
      <c r="M288" s="32"/>
      <c r="N288" s="47"/>
      <c r="O288" s="88"/>
      <c r="P288" s="2" t="str">
        <f t="shared" si="23"/>
        <v/>
      </c>
      <c r="Q288" s="2" t="str">
        <f t="shared" si="24"/>
        <v/>
      </c>
      <c r="R288" s="156" t="str">
        <f t="shared" si="27"/>
        <v/>
      </c>
    </row>
    <row r="289" spans="1:18" x14ac:dyDescent="0.3">
      <c r="A289">
        <f t="shared" si="25"/>
        <v>0</v>
      </c>
      <c r="B289" t="str">
        <f>H289&amp;" "&amp;COUNTIFS($H$3:H289,H289)</f>
        <v xml:space="preserve"> 0</v>
      </c>
      <c r="C289" s="34"/>
      <c r="D289" s="32"/>
      <c r="E289" s="32"/>
      <c r="F289" s="32"/>
      <c r="G289" s="32"/>
      <c r="H289" s="32"/>
      <c r="I289" s="105" t="str">
        <f t="shared" si="26"/>
        <v/>
      </c>
      <c r="J289" s="45"/>
      <c r="K289" s="45"/>
      <c r="L289" s="33"/>
      <c r="M289" s="32"/>
      <c r="N289" s="47"/>
      <c r="O289" s="88"/>
      <c r="P289" s="2" t="str">
        <f t="shared" si="23"/>
        <v/>
      </c>
      <c r="Q289" s="2" t="str">
        <f t="shared" si="24"/>
        <v/>
      </c>
      <c r="R289" s="156" t="str">
        <f t="shared" si="27"/>
        <v/>
      </c>
    </row>
    <row r="290" spans="1:18" x14ac:dyDescent="0.3">
      <c r="A290">
        <f t="shared" si="25"/>
        <v>0</v>
      </c>
      <c r="B290" t="str">
        <f>H290&amp;" "&amp;COUNTIFS($H$3:H290,H290)</f>
        <v xml:space="preserve"> 0</v>
      </c>
      <c r="C290" s="34"/>
      <c r="D290" s="32"/>
      <c r="E290" s="32"/>
      <c r="F290" s="32"/>
      <c r="G290" s="32"/>
      <c r="H290" s="32"/>
      <c r="I290" s="105" t="str">
        <f t="shared" si="26"/>
        <v/>
      </c>
      <c r="J290" s="45"/>
      <c r="K290" s="45"/>
      <c r="L290" s="33"/>
      <c r="M290" s="32"/>
      <c r="N290" s="47"/>
      <c r="O290" s="88"/>
      <c r="P290" s="2" t="str">
        <f t="shared" si="23"/>
        <v/>
      </c>
      <c r="Q290" s="2" t="str">
        <f t="shared" si="24"/>
        <v/>
      </c>
      <c r="R290" s="156" t="str">
        <f t="shared" si="27"/>
        <v/>
      </c>
    </row>
    <row r="291" spans="1:18" x14ac:dyDescent="0.3">
      <c r="A291">
        <f t="shared" si="25"/>
        <v>0</v>
      </c>
      <c r="B291" t="str">
        <f>H291&amp;" "&amp;COUNTIFS($H$3:H291,H291)</f>
        <v xml:space="preserve"> 0</v>
      </c>
      <c r="C291" s="34"/>
      <c r="D291" s="32"/>
      <c r="E291" s="32"/>
      <c r="F291" s="32"/>
      <c r="G291" s="32"/>
      <c r="H291" s="32"/>
      <c r="I291" s="105" t="str">
        <f t="shared" si="26"/>
        <v/>
      </c>
      <c r="J291" s="45"/>
      <c r="K291" s="45"/>
      <c r="L291" s="33"/>
      <c r="M291" s="32"/>
      <c r="N291" s="47"/>
      <c r="O291" s="88"/>
      <c r="P291" s="2" t="str">
        <f t="shared" si="23"/>
        <v/>
      </c>
      <c r="Q291" s="2" t="str">
        <f t="shared" si="24"/>
        <v/>
      </c>
      <c r="R291" s="156" t="str">
        <f t="shared" si="27"/>
        <v/>
      </c>
    </row>
    <row r="292" spans="1:18" x14ac:dyDescent="0.3">
      <c r="A292">
        <f t="shared" si="25"/>
        <v>0</v>
      </c>
      <c r="B292" t="str">
        <f>H292&amp;" "&amp;COUNTIFS($H$3:H292,H292)</f>
        <v xml:space="preserve"> 0</v>
      </c>
      <c r="C292" s="34"/>
      <c r="D292" s="32"/>
      <c r="E292" s="32"/>
      <c r="F292" s="32"/>
      <c r="G292" s="32"/>
      <c r="H292" s="32"/>
      <c r="I292" s="105" t="str">
        <f t="shared" si="26"/>
        <v/>
      </c>
      <c r="J292" s="45"/>
      <c r="K292" s="45"/>
      <c r="L292" s="33"/>
      <c r="M292" s="32"/>
      <c r="N292" s="47"/>
      <c r="O292" s="88"/>
      <c r="P292" s="2" t="str">
        <f t="shared" si="23"/>
        <v/>
      </c>
      <c r="Q292" s="2" t="str">
        <f t="shared" si="24"/>
        <v/>
      </c>
      <c r="R292" s="156" t="str">
        <f t="shared" si="27"/>
        <v/>
      </c>
    </row>
    <row r="293" spans="1:18" x14ac:dyDescent="0.3">
      <c r="A293">
        <f t="shared" si="25"/>
        <v>0</v>
      </c>
      <c r="B293" t="str">
        <f>H293&amp;" "&amp;COUNTIFS($H$3:H293,H293)</f>
        <v xml:space="preserve"> 0</v>
      </c>
      <c r="C293" s="34"/>
      <c r="D293" s="32"/>
      <c r="E293" s="32"/>
      <c r="F293" s="32"/>
      <c r="G293" s="32"/>
      <c r="H293" s="32"/>
      <c r="I293" s="105" t="str">
        <f t="shared" si="26"/>
        <v/>
      </c>
      <c r="J293" s="45"/>
      <c r="K293" s="45"/>
      <c r="L293" s="33"/>
      <c r="M293" s="32"/>
      <c r="N293" s="47"/>
      <c r="O293" s="88"/>
      <c r="P293" s="2" t="str">
        <f t="shared" si="23"/>
        <v/>
      </c>
      <c r="Q293" s="2" t="str">
        <f t="shared" si="24"/>
        <v/>
      </c>
      <c r="R293" s="156" t="str">
        <f t="shared" si="27"/>
        <v/>
      </c>
    </row>
    <row r="294" spans="1:18" x14ac:dyDescent="0.3">
      <c r="A294">
        <f t="shared" si="25"/>
        <v>0</v>
      </c>
      <c r="B294" t="str">
        <f>H294&amp;" "&amp;COUNTIFS($H$3:H294,H294)</f>
        <v xml:space="preserve"> 0</v>
      </c>
      <c r="C294" s="34"/>
      <c r="D294" s="32"/>
      <c r="E294" s="32"/>
      <c r="F294" s="32"/>
      <c r="G294" s="32"/>
      <c r="H294" s="32"/>
      <c r="I294" s="105" t="str">
        <f t="shared" si="26"/>
        <v/>
      </c>
      <c r="J294" s="45"/>
      <c r="K294" s="45"/>
      <c r="L294" s="33"/>
      <c r="M294" s="32"/>
      <c r="N294" s="47"/>
      <c r="O294" s="88"/>
      <c r="P294" s="2" t="str">
        <f t="shared" si="23"/>
        <v/>
      </c>
      <c r="Q294" s="2" t="str">
        <f t="shared" si="24"/>
        <v/>
      </c>
      <c r="R294" s="156" t="str">
        <f t="shared" si="27"/>
        <v/>
      </c>
    </row>
    <row r="295" spans="1:18" x14ac:dyDescent="0.3">
      <c r="A295">
        <f t="shared" si="25"/>
        <v>0</v>
      </c>
      <c r="B295" t="str">
        <f>H295&amp;" "&amp;COUNTIFS($H$3:H295,H295)</f>
        <v xml:space="preserve"> 0</v>
      </c>
      <c r="C295" s="34"/>
      <c r="D295" s="32"/>
      <c r="E295" s="32"/>
      <c r="F295" s="32"/>
      <c r="G295" s="32"/>
      <c r="H295" s="32"/>
      <c r="I295" s="105" t="str">
        <f t="shared" si="26"/>
        <v/>
      </c>
      <c r="J295" s="45"/>
      <c r="K295" s="45"/>
      <c r="L295" s="33"/>
      <c r="M295" s="32"/>
      <c r="N295" s="47"/>
      <c r="O295" s="88"/>
      <c r="P295" s="2" t="str">
        <f t="shared" si="23"/>
        <v/>
      </c>
      <c r="Q295" s="2" t="str">
        <f t="shared" si="24"/>
        <v/>
      </c>
      <c r="R295" s="156" t="str">
        <f t="shared" si="27"/>
        <v/>
      </c>
    </row>
    <row r="296" spans="1:18" x14ac:dyDescent="0.3">
      <c r="A296">
        <f t="shared" si="25"/>
        <v>0</v>
      </c>
      <c r="B296" t="str">
        <f>H296&amp;" "&amp;COUNTIFS($H$3:H296,H296)</f>
        <v xml:space="preserve"> 0</v>
      </c>
      <c r="C296" s="34"/>
      <c r="D296" s="32"/>
      <c r="E296" s="32"/>
      <c r="F296" s="32"/>
      <c r="G296" s="32"/>
      <c r="H296" s="32"/>
      <c r="I296" s="105" t="str">
        <f t="shared" si="26"/>
        <v/>
      </c>
      <c r="J296" s="45"/>
      <c r="K296" s="45"/>
      <c r="L296" s="33"/>
      <c r="M296" s="32"/>
      <c r="N296" s="47"/>
      <c r="O296" s="88"/>
      <c r="P296" s="2" t="str">
        <f t="shared" si="23"/>
        <v/>
      </c>
      <c r="Q296" s="2" t="str">
        <f t="shared" si="24"/>
        <v/>
      </c>
      <c r="R296" s="156" t="str">
        <f t="shared" si="27"/>
        <v/>
      </c>
    </row>
    <row r="297" spans="1:18" x14ac:dyDescent="0.3">
      <c r="A297">
        <f t="shared" si="25"/>
        <v>0</v>
      </c>
      <c r="B297" t="str">
        <f>H297&amp;" "&amp;COUNTIFS($H$3:H297,H297)</f>
        <v xml:space="preserve"> 0</v>
      </c>
      <c r="C297" s="34"/>
      <c r="D297" s="32"/>
      <c r="E297" s="32"/>
      <c r="F297" s="32"/>
      <c r="G297" s="32"/>
      <c r="H297" s="32"/>
      <c r="I297" s="105" t="str">
        <f t="shared" si="26"/>
        <v/>
      </c>
      <c r="J297" s="45"/>
      <c r="K297" s="45"/>
      <c r="L297" s="33"/>
      <c r="M297" s="32"/>
      <c r="N297" s="47"/>
      <c r="O297" s="88"/>
      <c r="P297" s="2" t="str">
        <f t="shared" si="23"/>
        <v/>
      </c>
      <c r="Q297" s="2" t="str">
        <f t="shared" si="24"/>
        <v/>
      </c>
      <c r="R297" s="156" t="str">
        <f t="shared" si="27"/>
        <v/>
      </c>
    </row>
    <row r="298" spans="1:18" x14ac:dyDescent="0.3">
      <c r="A298">
        <f t="shared" si="25"/>
        <v>0</v>
      </c>
      <c r="B298" t="str">
        <f>H298&amp;" "&amp;COUNTIFS($H$3:H298,H298)</f>
        <v xml:space="preserve"> 0</v>
      </c>
      <c r="C298" s="34"/>
      <c r="D298" s="32"/>
      <c r="E298" s="32"/>
      <c r="F298" s="32"/>
      <c r="G298" s="32"/>
      <c r="H298" s="32"/>
      <c r="I298" s="105" t="str">
        <f t="shared" si="26"/>
        <v/>
      </c>
      <c r="J298" s="45"/>
      <c r="K298" s="45"/>
      <c r="L298" s="33"/>
      <c r="M298" s="32"/>
      <c r="N298" s="47"/>
      <c r="O298" s="88"/>
      <c r="P298" s="2" t="str">
        <f t="shared" si="23"/>
        <v/>
      </c>
      <c r="Q298" s="2" t="str">
        <f t="shared" si="24"/>
        <v/>
      </c>
      <c r="R298" s="156" t="str">
        <f t="shared" si="27"/>
        <v/>
      </c>
    </row>
    <row r="299" spans="1:18" x14ac:dyDescent="0.3">
      <c r="A299">
        <f t="shared" si="25"/>
        <v>0</v>
      </c>
      <c r="B299" t="str">
        <f>H299&amp;" "&amp;COUNTIFS($H$3:H299,H299)</f>
        <v xml:space="preserve"> 0</v>
      </c>
      <c r="C299" s="34"/>
      <c r="D299" s="32"/>
      <c r="E299" s="32"/>
      <c r="F299" s="32"/>
      <c r="G299" s="32"/>
      <c r="H299" s="32"/>
      <c r="I299" s="105" t="str">
        <f t="shared" si="26"/>
        <v/>
      </c>
      <c r="J299" s="45"/>
      <c r="K299" s="45"/>
      <c r="L299" s="33"/>
      <c r="M299" s="32"/>
      <c r="N299" s="47"/>
      <c r="O299" s="88"/>
      <c r="P299" s="2" t="str">
        <f t="shared" si="23"/>
        <v/>
      </c>
      <c r="Q299" s="2" t="str">
        <f t="shared" si="24"/>
        <v/>
      </c>
      <c r="R299" s="156" t="str">
        <f t="shared" si="27"/>
        <v/>
      </c>
    </row>
    <row r="300" spans="1:18" x14ac:dyDescent="0.3">
      <c r="A300">
        <f t="shared" si="25"/>
        <v>0</v>
      </c>
      <c r="B300" t="str">
        <f>H300&amp;" "&amp;COUNTIFS($H$3:H300,H300)</f>
        <v xml:space="preserve"> 0</v>
      </c>
      <c r="C300" s="34"/>
      <c r="D300" s="32"/>
      <c r="E300" s="32"/>
      <c r="F300" s="32"/>
      <c r="G300" s="32"/>
      <c r="H300" s="32"/>
      <c r="I300" s="105" t="str">
        <f t="shared" si="26"/>
        <v/>
      </c>
      <c r="J300" s="45"/>
      <c r="K300" s="45"/>
      <c r="L300" s="33"/>
      <c r="M300" s="32"/>
      <c r="N300" s="47"/>
      <c r="O300" s="88"/>
      <c r="P300" s="2" t="str">
        <f t="shared" si="23"/>
        <v/>
      </c>
      <c r="Q300" s="2" t="str">
        <f t="shared" si="24"/>
        <v/>
      </c>
      <c r="R300" s="156" t="str">
        <f t="shared" si="27"/>
        <v/>
      </c>
    </row>
    <row r="301" spans="1:18" x14ac:dyDescent="0.3">
      <c r="A301">
        <f t="shared" si="25"/>
        <v>0</v>
      </c>
      <c r="B301" t="str">
        <f>H301&amp;" "&amp;COUNTIFS($H$3:H301,H301)</f>
        <v xml:space="preserve"> 0</v>
      </c>
      <c r="C301" s="34"/>
      <c r="D301" s="32"/>
      <c r="E301" s="32"/>
      <c r="F301" s="32"/>
      <c r="G301" s="32"/>
      <c r="H301" s="32"/>
      <c r="I301" s="105" t="str">
        <f t="shared" si="26"/>
        <v/>
      </c>
      <c r="J301" s="45"/>
      <c r="K301" s="45"/>
      <c r="L301" s="33"/>
      <c r="M301" s="32"/>
      <c r="N301" s="47"/>
      <c r="O301" s="88"/>
      <c r="P301" s="2" t="str">
        <f t="shared" si="23"/>
        <v/>
      </c>
      <c r="Q301" s="2" t="str">
        <f t="shared" si="24"/>
        <v/>
      </c>
      <c r="R301" s="156" t="str">
        <f t="shared" si="27"/>
        <v/>
      </c>
    </row>
    <row r="302" spans="1:18" x14ac:dyDescent="0.3">
      <c r="A302">
        <f t="shared" si="25"/>
        <v>0</v>
      </c>
      <c r="B302" t="str">
        <f>H302&amp;" "&amp;COUNTIFS($H$3:H302,H302)</f>
        <v xml:space="preserve"> 0</v>
      </c>
      <c r="C302" s="34"/>
      <c r="D302" s="32"/>
      <c r="E302" s="32"/>
      <c r="F302" s="32"/>
      <c r="G302" s="32"/>
      <c r="H302" s="32"/>
      <c r="I302" s="105" t="str">
        <f t="shared" si="26"/>
        <v/>
      </c>
      <c r="J302" s="45"/>
      <c r="K302" s="45"/>
      <c r="L302" s="33"/>
      <c r="M302" s="32"/>
      <c r="N302" s="47"/>
      <c r="O302" s="88"/>
      <c r="P302" s="2" t="str">
        <f t="shared" si="23"/>
        <v/>
      </c>
      <c r="Q302" s="2" t="str">
        <f t="shared" si="24"/>
        <v/>
      </c>
      <c r="R302" s="156" t="str">
        <f t="shared" si="27"/>
        <v/>
      </c>
    </row>
    <row r="303" spans="1:18" x14ac:dyDescent="0.3">
      <c r="A303">
        <f t="shared" si="25"/>
        <v>0</v>
      </c>
      <c r="B303" t="str">
        <f>H303&amp;" "&amp;COUNTIFS($H$3:H303,H303)</f>
        <v xml:space="preserve"> 0</v>
      </c>
      <c r="C303" s="34"/>
      <c r="D303" s="32"/>
      <c r="E303" s="32"/>
      <c r="F303" s="32"/>
      <c r="G303" s="32"/>
      <c r="H303" s="32"/>
      <c r="I303" s="105" t="str">
        <f t="shared" si="26"/>
        <v/>
      </c>
      <c r="J303" s="45"/>
      <c r="K303" s="45"/>
      <c r="L303" s="33"/>
      <c r="M303" s="32"/>
      <c r="N303" s="47"/>
      <c r="O303" s="88"/>
      <c r="P303" s="2" t="str">
        <f t="shared" si="23"/>
        <v/>
      </c>
      <c r="Q303" s="2" t="str">
        <f t="shared" si="24"/>
        <v/>
      </c>
      <c r="R303" s="156" t="str">
        <f t="shared" si="27"/>
        <v/>
      </c>
    </row>
    <row r="304" spans="1:18" x14ac:dyDescent="0.3">
      <c r="A304">
        <f t="shared" si="25"/>
        <v>0</v>
      </c>
      <c r="B304" t="str">
        <f>H304&amp;" "&amp;COUNTIFS($H$3:H304,H304)</f>
        <v xml:space="preserve"> 0</v>
      </c>
      <c r="C304" s="34"/>
      <c r="D304" s="32"/>
      <c r="E304" s="32"/>
      <c r="F304" s="32"/>
      <c r="G304" s="32"/>
      <c r="H304" s="32"/>
      <c r="I304" s="105" t="str">
        <f t="shared" si="26"/>
        <v/>
      </c>
      <c r="J304" s="45"/>
      <c r="K304" s="45"/>
      <c r="L304" s="33"/>
      <c r="M304" s="32"/>
      <c r="N304" s="47"/>
      <c r="O304" s="88"/>
      <c r="P304" s="2" t="str">
        <f t="shared" si="23"/>
        <v/>
      </c>
      <c r="Q304" s="2" t="str">
        <f t="shared" si="24"/>
        <v/>
      </c>
      <c r="R304" s="156" t="str">
        <f t="shared" si="27"/>
        <v/>
      </c>
    </row>
    <row r="305" spans="1:18" x14ac:dyDescent="0.3">
      <c r="A305">
        <f t="shared" si="25"/>
        <v>0</v>
      </c>
      <c r="B305" t="str">
        <f>H305&amp;" "&amp;COUNTIFS($H$3:H305,H305)</f>
        <v xml:space="preserve"> 0</v>
      </c>
      <c r="C305" s="34"/>
      <c r="D305" s="32"/>
      <c r="E305" s="32"/>
      <c r="F305" s="32"/>
      <c r="G305" s="32"/>
      <c r="H305" s="32"/>
      <c r="I305" s="105" t="str">
        <f t="shared" si="26"/>
        <v/>
      </c>
      <c r="J305" s="45"/>
      <c r="K305" s="45"/>
      <c r="L305" s="33"/>
      <c r="M305" s="32"/>
      <c r="N305" s="47"/>
      <c r="O305" s="88"/>
      <c r="P305" s="2" t="str">
        <f t="shared" si="23"/>
        <v/>
      </c>
      <c r="Q305" s="2" t="str">
        <f t="shared" si="24"/>
        <v/>
      </c>
      <c r="R305" s="156" t="str">
        <f t="shared" si="27"/>
        <v/>
      </c>
    </row>
    <row r="306" spans="1:18" x14ac:dyDescent="0.3">
      <c r="A306">
        <f t="shared" si="25"/>
        <v>0</v>
      </c>
      <c r="B306" t="str">
        <f>H306&amp;" "&amp;COUNTIFS($H$3:H306,H306)</f>
        <v xml:space="preserve"> 0</v>
      </c>
      <c r="C306" s="34"/>
      <c r="D306" s="32"/>
      <c r="E306" s="32"/>
      <c r="F306" s="32"/>
      <c r="G306" s="32"/>
      <c r="H306" s="32"/>
      <c r="I306" s="105" t="str">
        <f t="shared" si="26"/>
        <v/>
      </c>
      <c r="J306" s="45"/>
      <c r="K306" s="45"/>
      <c r="L306" s="33"/>
      <c r="M306" s="32"/>
      <c r="N306" s="47"/>
      <c r="O306" s="88"/>
      <c r="P306" s="2" t="str">
        <f t="shared" si="23"/>
        <v/>
      </c>
      <c r="Q306" s="2" t="str">
        <f t="shared" si="24"/>
        <v/>
      </c>
      <c r="R306" s="156" t="str">
        <f t="shared" si="27"/>
        <v/>
      </c>
    </row>
    <row r="307" spans="1:18" x14ac:dyDescent="0.3">
      <c r="A307">
        <f t="shared" si="25"/>
        <v>0</v>
      </c>
      <c r="B307" t="str">
        <f>H307&amp;" "&amp;COUNTIFS($H$3:H307,H307)</f>
        <v xml:space="preserve"> 0</v>
      </c>
      <c r="C307" s="34"/>
      <c r="D307" s="32"/>
      <c r="E307" s="32"/>
      <c r="F307" s="32"/>
      <c r="G307" s="32"/>
      <c r="H307" s="32"/>
      <c r="I307" s="105" t="str">
        <f t="shared" si="26"/>
        <v/>
      </c>
      <c r="J307" s="45"/>
      <c r="K307" s="45"/>
      <c r="L307" s="33"/>
      <c r="M307" s="32"/>
      <c r="N307" s="47"/>
      <c r="O307" s="88"/>
      <c r="P307" s="2" t="str">
        <f t="shared" si="23"/>
        <v/>
      </c>
      <c r="Q307" s="2" t="str">
        <f t="shared" si="24"/>
        <v/>
      </c>
      <c r="R307" s="156" t="str">
        <f t="shared" si="27"/>
        <v/>
      </c>
    </row>
    <row r="308" spans="1:18" x14ac:dyDescent="0.3">
      <c r="A308">
        <f t="shared" si="25"/>
        <v>0</v>
      </c>
      <c r="B308" t="str">
        <f>H308&amp;" "&amp;COUNTIFS($H$3:H308,H308)</f>
        <v xml:space="preserve"> 0</v>
      </c>
      <c r="C308" s="34"/>
      <c r="D308" s="32"/>
      <c r="E308" s="32"/>
      <c r="F308" s="32"/>
      <c r="G308" s="32"/>
      <c r="H308" s="32"/>
      <c r="I308" s="105" t="str">
        <f t="shared" si="26"/>
        <v/>
      </c>
      <c r="J308" s="45"/>
      <c r="K308" s="45"/>
      <c r="L308" s="33"/>
      <c r="M308" s="32"/>
      <c r="N308" s="47"/>
      <c r="O308" s="88"/>
      <c r="P308" s="2" t="str">
        <f t="shared" si="23"/>
        <v/>
      </c>
      <c r="Q308" s="2" t="str">
        <f t="shared" si="24"/>
        <v/>
      </c>
      <c r="R308" s="156" t="str">
        <f t="shared" si="27"/>
        <v/>
      </c>
    </row>
    <row r="309" spans="1:18" x14ac:dyDescent="0.3">
      <c r="A309">
        <f t="shared" si="25"/>
        <v>0</v>
      </c>
      <c r="B309" t="str">
        <f>H309&amp;" "&amp;COUNTIFS($H$3:H309,H309)</f>
        <v xml:space="preserve"> 0</v>
      </c>
      <c r="C309" s="34"/>
      <c r="D309" s="32"/>
      <c r="E309" s="32"/>
      <c r="F309" s="32"/>
      <c r="G309" s="32"/>
      <c r="H309" s="32"/>
      <c r="I309" s="105" t="str">
        <f t="shared" si="26"/>
        <v/>
      </c>
      <c r="J309" s="45"/>
      <c r="K309" s="45"/>
      <c r="L309" s="33"/>
      <c r="M309" s="32"/>
      <c r="N309" s="47"/>
      <c r="O309" s="88"/>
      <c r="P309" s="2" t="str">
        <f t="shared" si="23"/>
        <v/>
      </c>
      <c r="Q309" s="2" t="str">
        <f t="shared" si="24"/>
        <v/>
      </c>
      <c r="R309" s="156" t="str">
        <f t="shared" si="27"/>
        <v/>
      </c>
    </row>
    <row r="310" spans="1:18" x14ac:dyDescent="0.3">
      <c r="A310">
        <f t="shared" si="25"/>
        <v>0</v>
      </c>
      <c r="B310" t="str">
        <f>H310&amp;" "&amp;COUNTIFS($H$3:H310,H310)</f>
        <v xml:space="preserve"> 0</v>
      </c>
      <c r="C310" s="34"/>
      <c r="D310" s="32"/>
      <c r="E310" s="32"/>
      <c r="F310" s="32"/>
      <c r="G310" s="32"/>
      <c r="H310" s="32"/>
      <c r="I310" s="105" t="str">
        <f t="shared" si="26"/>
        <v/>
      </c>
      <c r="J310" s="45"/>
      <c r="K310" s="45"/>
      <c r="L310" s="33"/>
      <c r="M310" s="32"/>
      <c r="N310" s="47"/>
      <c r="O310" s="88"/>
      <c r="P310" s="2" t="str">
        <f t="shared" si="23"/>
        <v/>
      </c>
      <c r="Q310" s="2" t="str">
        <f t="shared" si="24"/>
        <v/>
      </c>
      <c r="R310" s="156" t="str">
        <f t="shared" si="27"/>
        <v/>
      </c>
    </row>
    <row r="311" spans="1:18" x14ac:dyDescent="0.3">
      <c r="A311">
        <f t="shared" si="25"/>
        <v>0</v>
      </c>
      <c r="B311" t="str">
        <f>H311&amp;" "&amp;COUNTIFS($H$3:H311,H311)</f>
        <v xml:space="preserve"> 0</v>
      </c>
      <c r="C311" s="34"/>
      <c r="D311" s="32"/>
      <c r="E311" s="32"/>
      <c r="F311" s="32"/>
      <c r="G311" s="32"/>
      <c r="H311" s="32"/>
      <c r="I311" s="105" t="str">
        <f t="shared" si="26"/>
        <v/>
      </c>
      <c r="J311" s="45"/>
      <c r="K311" s="45"/>
      <c r="L311" s="33"/>
      <c r="M311" s="32"/>
      <c r="N311" s="47"/>
      <c r="O311" s="88"/>
      <c r="P311" s="2" t="str">
        <f t="shared" si="23"/>
        <v/>
      </c>
      <c r="Q311" s="2" t="str">
        <f t="shared" si="24"/>
        <v/>
      </c>
      <c r="R311" s="156" t="str">
        <f t="shared" si="27"/>
        <v/>
      </c>
    </row>
    <row r="312" spans="1:18" x14ac:dyDescent="0.3">
      <c r="A312">
        <f t="shared" si="25"/>
        <v>0</v>
      </c>
      <c r="B312" t="str">
        <f>H312&amp;" "&amp;COUNTIFS($H$3:H312,H312)</f>
        <v xml:space="preserve"> 0</v>
      </c>
      <c r="C312" s="34"/>
      <c r="D312" s="32"/>
      <c r="E312" s="32"/>
      <c r="F312" s="32"/>
      <c r="G312" s="32"/>
      <c r="H312" s="32"/>
      <c r="I312" s="105" t="str">
        <f t="shared" si="26"/>
        <v/>
      </c>
      <c r="J312" s="45"/>
      <c r="K312" s="45"/>
      <c r="L312" s="33"/>
      <c r="M312" s="32"/>
      <c r="N312" s="47"/>
      <c r="O312" s="88"/>
      <c r="P312" s="2" t="str">
        <f t="shared" si="23"/>
        <v/>
      </c>
      <c r="Q312" s="2" t="str">
        <f t="shared" si="24"/>
        <v/>
      </c>
      <c r="R312" s="156" t="str">
        <f t="shared" si="27"/>
        <v/>
      </c>
    </row>
    <row r="313" spans="1:18" x14ac:dyDescent="0.3">
      <c r="A313">
        <f t="shared" si="25"/>
        <v>0</v>
      </c>
      <c r="B313" t="str">
        <f>H313&amp;" "&amp;COUNTIFS($H$3:H313,H313)</f>
        <v xml:space="preserve"> 0</v>
      </c>
      <c r="C313" s="34"/>
      <c r="D313" s="32"/>
      <c r="E313" s="32"/>
      <c r="F313" s="32"/>
      <c r="G313" s="32"/>
      <c r="H313" s="32"/>
      <c r="I313" s="105" t="str">
        <f t="shared" si="26"/>
        <v/>
      </c>
      <c r="J313" s="45"/>
      <c r="K313" s="45"/>
      <c r="L313" s="33"/>
      <c r="M313" s="32"/>
      <c r="N313" s="47"/>
      <c r="O313" s="88"/>
      <c r="P313" s="2" t="str">
        <f t="shared" si="23"/>
        <v/>
      </c>
      <c r="Q313" s="2" t="str">
        <f t="shared" si="24"/>
        <v/>
      </c>
      <c r="R313" s="156" t="str">
        <f t="shared" si="27"/>
        <v/>
      </c>
    </row>
    <row r="314" spans="1:18" x14ac:dyDescent="0.3">
      <c r="A314">
        <f t="shared" si="25"/>
        <v>0</v>
      </c>
      <c r="B314" t="str">
        <f>H314&amp;" "&amp;COUNTIFS($H$3:H314,H314)</f>
        <v xml:space="preserve"> 0</v>
      </c>
      <c r="C314" s="34"/>
      <c r="D314" s="32"/>
      <c r="E314" s="32"/>
      <c r="F314" s="32"/>
      <c r="G314" s="32"/>
      <c r="H314" s="32"/>
      <c r="I314" s="105" t="str">
        <f t="shared" si="26"/>
        <v/>
      </c>
      <c r="J314" s="45"/>
      <c r="K314" s="45"/>
      <c r="L314" s="33"/>
      <c r="M314" s="32"/>
      <c r="N314" s="47"/>
      <c r="O314" s="88"/>
      <c r="P314" s="2" t="str">
        <f t="shared" si="23"/>
        <v/>
      </c>
      <c r="Q314" s="2" t="str">
        <f t="shared" si="24"/>
        <v/>
      </c>
      <c r="R314" s="156" t="str">
        <f t="shared" si="27"/>
        <v/>
      </c>
    </row>
    <row r="315" spans="1:18" x14ac:dyDescent="0.3">
      <c r="A315">
        <f t="shared" si="25"/>
        <v>0</v>
      </c>
      <c r="B315" t="str">
        <f>H315&amp;" "&amp;COUNTIFS($H$3:H315,H315)</f>
        <v xml:space="preserve"> 0</v>
      </c>
      <c r="C315" s="34"/>
      <c r="D315" s="32"/>
      <c r="E315" s="32"/>
      <c r="F315" s="32"/>
      <c r="G315" s="32"/>
      <c r="H315" s="32"/>
      <c r="I315" s="105" t="str">
        <f t="shared" si="26"/>
        <v/>
      </c>
      <c r="J315" s="45"/>
      <c r="K315" s="45"/>
      <c r="L315" s="33"/>
      <c r="M315" s="32"/>
      <c r="N315" s="47"/>
      <c r="O315" s="88"/>
      <c r="P315" s="2" t="str">
        <f t="shared" si="23"/>
        <v/>
      </c>
      <c r="Q315" s="2" t="str">
        <f t="shared" si="24"/>
        <v/>
      </c>
      <c r="R315" s="156" t="str">
        <f t="shared" si="27"/>
        <v/>
      </c>
    </row>
    <row r="316" spans="1:18" x14ac:dyDescent="0.3">
      <c r="A316">
        <f t="shared" si="25"/>
        <v>0</v>
      </c>
      <c r="B316" t="str">
        <f>H316&amp;" "&amp;COUNTIFS($H$3:H316,H316)</f>
        <v xml:space="preserve"> 0</v>
      </c>
      <c r="C316" s="34"/>
      <c r="D316" s="32"/>
      <c r="E316" s="32"/>
      <c r="F316" s="32"/>
      <c r="G316" s="32"/>
      <c r="H316" s="32"/>
      <c r="I316" s="105" t="str">
        <f t="shared" si="26"/>
        <v/>
      </c>
      <c r="J316" s="45"/>
      <c r="K316" s="45"/>
      <c r="L316" s="33"/>
      <c r="M316" s="32"/>
      <c r="N316" s="47"/>
      <c r="O316" s="88"/>
      <c r="P316" s="2" t="str">
        <f t="shared" si="23"/>
        <v/>
      </c>
      <c r="Q316" s="2" t="str">
        <f t="shared" si="24"/>
        <v/>
      </c>
      <c r="R316" s="156" t="str">
        <f t="shared" si="27"/>
        <v/>
      </c>
    </row>
    <row r="317" spans="1:18" x14ac:dyDescent="0.3">
      <c r="A317">
        <f t="shared" si="25"/>
        <v>0</v>
      </c>
      <c r="B317" t="str">
        <f>H317&amp;" "&amp;COUNTIFS($H$3:H317,H317)</f>
        <v xml:space="preserve"> 0</v>
      </c>
      <c r="C317" s="34"/>
      <c r="D317" s="32"/>
      <c r="E317" s="32"/>
      <c r="F317" s="32"/>
      <c r="G317" s="32"/>
      <c r="H317" s="32"/>
      <c r="I317" s="105" t="str">
        <f t="shared" si="26"/>
        <v/>
      </c>
      <c r="J317" s="45"/>
      <c r="K317" s="45"/>
      <c r="L317" s="33"/>
      <c r="M317" s="32"/>
      <c r="N317" s="47"/>
      <c r="O317" s="88"/>
      <c r="P317" s="2" t="str">
        <f t="shared" si="23"/>
        <v/>
      </c>
      <c r="Q317" s="2" t="str">
        <f t="shared" si="24"/>
        <v/>
      </c>
      <c r="R317" s="156" t="str">
        <f t="shared" si="27"/>
        <v/>
      </c>
    </row>
    <row r="318" spans="1:18" x14ac:dyDescent="0.3">
      <c r="A318">
        <f t="shared" si="25"/>
        <v>0</v>
      </c>
      <c r="B318" t="str">
        <f>H318&amp;" "&amp;COUNTIFS($H$3:H318,H318)</f>
        <v xml:space="preserve"> 0</v>
      </c>
      <c r="C318" s="34"/>
      <c r="D318" s="32"/>
      <c r="E318" s="32"/>
      <c r="F318" s="32"/>
      <c r="G318" s="32"/>
      <c r="H318" s="32"/>
      <c r="I318" s="105" t="str">
        <f t="shared" si="26"/>
        <v/>
      </c>
      <c r="J318" s="45"/>
      <c r="K318" s="45"/>
      <c r="L318" s="33"/>
      <c r="M318" s="32"/>
      <c r="N318" s="47"/>
      <c r="O318" s="88"/>
      <c r="P318" s="2" t="str">
        <f t="shared" si="23"/>
        <v/>
      </c>
      <c r="Q318" s="2" t="str">
        <f t="shared" si="24"/>
        <v/>
      </c>
      <c r="R318" s="156" t="str">
        <f t="shared" si="27"/>
        <v/>
      </c>
    </row>
    <row r="319" spans="1:18" x14ac:dyDescent="0.3">
      <c r="A319">
        <f t="shared" si="25"/>
        <v>0</v>
      </c>
      <c r="B319" t="str">
        <f>H319&amp;" "&amp;COUNTIFS($H$3:H319,H319)</f>
        <v xml:space="preserve"> 0</v>
      </c>
      <c r="C319" s="34"/>
      <c r="D319" s="32"/>
      <c r="E319" s="32"/>
      <c r="F319" s="32"/>
      <c r="G319" s="32"/>
      <c r="H319" s="32"/>
      <c r="I319" s="105" t="str">
        <f t="shared" si="26"/>
        <v/>
      </c>
      <c r="J319" s="45"/>
      <c r="K319" s="45"/>
      <c r="L319" s="33"/>
      <c r="M319" s="32"/>
      <c r="N319" s="47"/>
      <c r="O319" s="88"/>
      <c r="P319" s="2" t="str">
        <f t="shared" si="23"/>
        <v/>
      </c>
      <c r="Q319" s="2" t="str">
        <f t="shared" si="24"/>
        <v/>
      </c>
      <c r="R319" s="156" t="str">
        <f t="shared" si="27"/>
        <v/>
      </c>
    </row>
    <row r="320" spans="1:18" x14ac:dyDescent="0.3">
      <c r="A320">
        <f t="shared" si="25"/>
        <v>0</v>
      </c>
      <c r="B320" t="str">
        <f>H320&amp;" "&amp;COUNTIFS($H$3:H320,H320)</f>
        <v xml:space="preserve"> 0</v>
      </c>
      <c r="C320" s="34"/>
      <c r="D320" s="32"/>
      <c r="E320" s="32"/>
      <c r="F320" s="32"/>
      <c r="G320" s="32"/>
      <c r="H320" s="32"/>
      <c r="I320" s="105" t="str">
        <f t="shared" si="26"/>
        <v/>
      </c>
      <c r="J320" s="45"/>
      <c r="K320" s="45"/>
      <c r="L320" s="33"/>
      <c r="M320" s="32"/>
      <c r="N320" s="47"/>
      <c r="O320" s="88"/>
      <c r="P320" s="2" t="str">
        <f t="shared" si="23"/>
        <v/>
      </c>
      <c r="Q320" s="2" t="str">
        <f t="shared" si="24"/>
        <v/>
      </c>
      <c r="R320" s="156" t="str">
        <f t="shared" si="27"/>
        <v/>
      </c>
    </row>
    <row r="321" spans="1:18" x14ac:dyDescent="0.3">
      <c r="A321">
        <f t="shared" si="25"/>
        <v>0</v>
      </c>
      <c r="B321" t="str">
        <f>H321&amp;" "&amp;COUNTIFS($H$3:H321,H321)</f>
        <v xml:space="preserve"> 0</v>
      </c>
      <c r="C321" s="34"/>
      <c r="D321" s="32"/>
      <c r="E321" s="32"/>
      <c r="F321" s="32"/>
      <c r="G321" s="32"/>
      <c r="H321" s="32"/>
      <c r="I321" s="105" t="str">
        <f t="shared" si="26"/>
        <v/>
      </c>
      <c r="J321" s="45"/>
      <c r="K321" s="45"/>
      <c r="L321" s="33"/>
      <c r="M321" s="32"/>
      <c r="N321" s="47"/>
      <c r="O321" s="88"/>
      <c r="P321" s="2" t="str">
        <f t="shared" si="23"/>
        <v/>
      </c>
      <c r="Q321" s="2" t="str">
        <f t="shared" si="24"/>
        <v/>
      </c>
      <c r="R321" s="156" t="str">
        <f t="shared" si="27"/>
        <v/>
      </c>
    </row>
    <row r="322" spans="1:18" x14ac:dyDescent="0.3">
      <c r="A322">
        <f t="shared" si="25"/>
        <v>0</v>
      </c>
      <c r="B322" t="str">
        <f>H322&amp;" "&amp;COUNTIFS($H$3:H322,H322)</f>
        <v xml:space="preserve"> 0</v>
      </c>
      <c r="C322" s="34"/>
      <c r="D322" s="32"/>
      <c r="E322" s="32"/>
      <c r="F322" s="32"/>
      <c r="G322" s="32"/>
      <c r="H322" s="32"/>
      <c r="I322" s="105" t="str">
        <f t="shared" si="26"/>
        <v/>
      </c>
      <c r="J322" s="45"/>
      <c r="K322" s="45"/>
      <c r="L322" s="33"/>
      <c r="M322" s="32"/>
      <c r="N322" s="47"/>
      <c r="O322" s="88"/>
      <c r="P322" s="2" t="str">
        <f t="shared" si="23"/>
        <v/>
      </c>
      <c r="Q322" s="2" t="str">
        <f t="shared" si="24"/>
        <v/>
      </c>
      <c r="R322" s="156" t="str">
        <f t="shared" si="27"/>
        <v/>
      </c>
    </row>
    <row r="323" spans="1:18" x14ac:dyDescent="0.3">
      <c r="A323">
        <f t="shared" si="25"/>
        <v>0</v>
      </c>
      <c r="B323" t="str">
        <f>H323&amp;" "&amp;COUNTIFS($H$3:H323,H323)</f>
        <v xml:space="preserve"> 0</v>
      </c>
      <c r="C323" s="34"/>
      <c r="D323" s="32"/>
      <c r="E323" s="32"/>
      <c r="F323" s="32"/>
      <c r="G323" s="32"/>
      <c r="H323" s="32"/>
      <c r="I323" s="105" t="str">
        <f t="shared" si="26"/>
        <v/>
      </c>
      <c r="J323" s="45"/>
      <c r="K323" s="45"/>
      <c r="L323" s="33"/>
      <c r="M323" s="32"/>
      <c r="N323" s="47"/>
      <c r="O323" s="88"/>
      <c r="P323" s="2" t="str">
        <f t="shared" ref="P323:P386" si="28">IFERROR(VLOOKUP(O323,DAFTAR_TOKO,2,FALSE),"")</f>
        <v/>
      </c>
      <c r="Q323" s="2" t="str">
        <f t="shared" ref="Q323:Q386" si="29">IFERROR(VLOOKUP(O323,DAFTAR_TOKO,3,FALSE),"")</f>
        <v/>
      </c>
      <c r="R323" s="156" t="str">
        <f t="shared" si="27"/>
        <v/>
      </c>
    </row>
    <row r="324" spans="1:18" x14ac:dyDescent="0.3">
      <c r="A324">
        <f t="shared" ref="A324:A387" si="30">H324</f>
        <v>0</v>
      </c>
      <c r="B324" t="str">
        <f>H324&amp;" "&amp;COUNTIFS($H$3:H324,H324)</f>
        <v xml:space="preserve"> 0</v>
      </c>
      <c r="C324" s="34"/>
      <c r="D324" s="32"/>
      <c r="E324" s="32"/>
      <c r="F324" s="32"/>
      <c r="G324" s="32"/>
      <c r="H324" s="32"/>
      <c r="I324" s="105" t="str">
        <f t="shared" ref="I324:I387" si="31">IF(K324="","",L324/K324)</f>
        <v/>
      </c>
      <c r="J324" s="45"/>
      <c r="K324" s="45"/>
      <c r="L324" s="33"/>
      <c r="M324" s="32"/>
      <c r="N324" s="47"/>
      <c r="O324" s="88"/>
      <c r="P324" s="2" t="str">
        <f t="shared" si="28"/>
        <v/>
      </c>
      <c r="Q324" s="2" t="str">
        <f t="shared" si="29"/>
        <v/>
      </c>
      <c r="R324" s="156" t="str">
        <f t="shared" ref="R324:R387" si="32">IF(C324="","",C324)</f>
        <v/>
      </c>
    </row>
    <row r="325" spans="1:18" x14ac:dyDescent="0.3">
      <c r="A325">
        <f t="shared" si="30"/>
        <v>0</v>
      </c>
      <c r="B325" t="str">
        <f>H325&amp;" "&amp;COUNTIFS($H$3:H325,H325)</f>
        <v xml:space="preserve"> 0</v>
      </c>
      <c r="C325" s="34"/>
      <c r="D325" s="32"/>
      <c r="E325" s="32"/>
      <c r="F325" s="32"/>
      <c r="G325" s="32"/>
      <c r="H325" s="32"/>
      <c r="I325" s="105" t="str">
        <f t="shared" si="31"/>
        <v/>
      </c>
      <c r="J325" s="45"/>
      <c r="K325" s="45"/>
      <c r="L325" s="33"/>
      <c r="M325" s="32"/>
      <c r="N325" s="47"/>
      <c r="O325" s="88"/>
      <c r="P325" s="2" t="str">
        <f t="shared" si="28"/>
        <v/>
      </c>
      <c r="Q325" s="2" t="str">
        <f t="shared" si="29"/>
        <v/>
      </c>
      <c r="R325" s="156" t="str">
        <f t="shared" si="32"/>
        <v/>
      </c>
    </row>
    <row r="326" spans="1:18" x14ac:dyDescent="0.3">
      <c r="A326">
        <f t="shared" si="30"/>
        <v>0</v>
      </c>
      <c r="B326" t="str">
        <f>H326&amp;" "&amp;COUNTIFS($H$3:H326,H326)</f>
        <v xml:space="preserve"> 0</v>
      </c>
      <c r="C326" s="34"/>
      <c r="D326" s="32"/>
      <c r="E326" s="32"/>
      <c r="F326" s="32"/>
      <c r="G326" s="32"/>
      <c r="H326" s="32"/>
      <c r="I326" s="105" t="str">
        <f t="shared" si="31"/>
        <v/>
      </c>
      <c r="J326" s="45"/>
      <c r="K326" s="45"/>
      <c r="L326" s="33"/>
      <c r="M326" s="32"/>
      <c r="N326" s="47"/>
      <c r="O326" s="88"/>
      <c r="P326" s="2" t="str">
        <f t="shared" si="28"/>
        <v/>
      </c>
      <c r="Q326" s="2" t="str">
        <f t="shared" si="29"/>
        <v/>
      </c>
      <c r="R326" s="156" t="str">
        <f t="shared" si="32"/>
        <v/>
      </c>
    </row>
    <row r="327" spans="1:18" x14ac:dyDescent="0.3">
      <c r="A327">
        <f t="shared" si="30"/>
        <v>0</v>
      </c>
      <c r="B327" t="str">
        <f>H327&amp;" "&amp;COUNTIFS($H$3:H327,H327)</f>
        <v xml:space="preserve"> 0</v>
      </c>
      <c r="C327" s="34"/>
      <c r="D327" s="32"/>
      <c r="E327" s="32"/>
      <c r="F327" s="32"/>
      <c r="G327" s="32"/>
      <c r="H327" s="32"/>
      <c r="I327" s="105" t="str">
        <f t="shared" si="31"/>
        <v/>
      </c>
      <c r="J327" s="45"/>
      <c r="K327" s="45"/>
      <c r="L327" s="33"/>
      <c r="M327" s="32"/>
      <c r="N327" s="47"/>
      <c r="O327" s="88"/>
      <c r="P327" s="2" t="str">
        <f t="shared" si="28"/>
        <v/>
      </c>
      <c r="Q327" s="2" t="str">
        <f t="shared" si="29"/>
        <v/>
      </c>
      <c r="R327" s="156" t="str">
        <f t="shared" si="32"/>
        <v/>
      </c>
    </row>
    <row r="328" spans="1:18" x14ac:dyDescent="0.3">
      <c r="A328">
        <f t="shared" si="30"/>
        <v>0</v>
      </c>
      <c r="B328" t="str">
        <f>H328&amp;" "&amp;COUNTIFS($H$3:H328,H328)</f>
        <v xml:space="preserve"> 0</v>
      </c>
      <c r="C328" s="34"/>
      <c r="D328" s="32"/>
      <c r="E328" s="32"/>
      <c r="F328" s="32"/>
      <c r="G328" s="32"/>
      <c r="H328" s="32"/>
      <c r="I328" s="105" t="str">
        <f t="shared" si="31"/>
        <v/>
      </c>
      <c r="J328" s="45"/>
      <c r="K328" s="45"/>
      <c r="L328" s="33"/>
      <c r="M328" s="32"/>
      <c r="N328" s="47"/>
      <c r="O328" s="88"/>
      <c r="P328" s="2" t="str">
        <f t="shared" si="28"/>
        <v/>
      </c>
      <c r="Q328" s="2" t="str">
        <f t="shared" si="29"/>
        <v/>
      </c>
      <c r="R328" s="156" t="str">
        <f t="shared" si="32"/>
        <v/>
      </c>
    </row>
    <row r="329" spans="1:18" x14ac:dyDescent="0.3">
      <c r="A329">
        <f t="shared" si="30"/>
        <v>0</v>
      </c>
      <c r="B329" t="str">
        <f>H329&amp;" "&amp;COUNTIFS($H$3:H329,H329)</f>
        <v xml:space="preserve"> 0</v>
      </c>
      <c r="C329" s="34"/>
      <c r="D329" s="32"/>
      <c r="E329" s="32"/>
      <c r="F329" s="32"/>
      <c r="G329" s="32"/>
      <c r="H329" s="32"/>
      <c r="I329" s="105" t="str">
        <f t="shared" si="31"/>
        <v/>
      </c>
      <c r="J329" s="45"/>
      <c r="K329" s="45"/>
      <c r="L329" s="33"/>
      <c r="M329" s="32"/>
      <c r="N329" s="47"/>
      <c r="O329" s="88"/>
      <c r="P329" s="2" t="str">
        <f t="shared" si="28"/>
        <v/>
      </c>
      <c r="Q329" s="2" t="str">
        <f t="shared" si="29"/>
        <v/>
      </c>
      <c r="R329" s="156" t="str">
        <f t="shared" si="32"/>
        <v/>
      </c>
    </row>
    <row r="330" spans="1:18" x14ac:dyDescent="0.3">
      <c r="A330">
        <f t="shared" si="30"/>
        <v>0</v>
      </c>
      <c r="B330" t="str">
        <f>H330&amp;" "&amp;COUNTIFS($H$3:H330,H330)</f>
        <v xml:space="preserve"> 0</v>
      </c>
      <c r="C330" s="34"/>
      <c r="D330" s="32"/>
      <c r="E330" s="32"/>
      <c r="F330" s="32"/>
      <c r="G330" s="32"/>
      <c r="H330" s="32"/>
      <c r="I330" s="105" t="str">
        <f t="shared" si="31"/>
        <v/>
      </c>
      <c r="J330" s="45"/>
      <c r="K330" s="45"/>
      <c r="L330" s="33"/>
      <c r="M330" s="32"/>
      <c r="N330" s="47"/>
      <c r="O330" s="88"/>
      <c r="P330" s="2" t="str">
        <f t="shared" si="28"/>
        <v/>
      </c>
      <c r="Q330" s="2" t="str">
        <f t="shared" si="29"/>
        <v/>
      </c>
      <c r="R330" s="156" t="str">
        <f t="shared" si="32"/>
        <v/>
      </c>
    </row>
    <row r="331" spans="1:18" x14ac:dyDescent="0.3">
      <c r="A331">
        <f t="shared" si="30"/>
        <v>0</v>
      </c>
      <c r="B331" t="str">
        <f>H331&amp;" "&amp;COUNTIFS($H$3:H331,H331)</f>
        <v xml:space="preserve"> 0</v>
      </c>
      <c r="C331" s="34"/>
      <c r="D331" s="32"/>
      <c r="E331" s="32"/>
      <c r="F331" s="32"/>
      <c r="G331" s="32"/>
      <c r="H331" s="32"/>
      <c r="I331" s="105" t="str">
        <f t="shared" si="31"/>
        <v/>
      </c>
      <c r="J331" s="45"/>
      <c r="K331" s="45"/>
      <c r="L331" s="33"/>
      <c r="M331" s="32"/>
      <c r="N331" s="47"/>
      <c r="O331" s="88"/>
      <c r="P331" s="2" t="str">
        <f t="shared" si="28"/>
        <v/>
      </c>
      <c r="Q331" s="2" t="str">
        <f t="shared" si="29"/>
        <v/>
      </c>
      <c r="R331" s="156" t="str">
        <f t="shared" si="32"/>
        <v/>
      </c>
    </row>
    <row r="332" spans="1:18" x14ac:dyDescent="0.3">
      <c r="A332">
        <f t="shared" si="30"/>
        <v>0</v>
      </c>
      <c r="B332" t="str">
        <f>H332&amp;" "&amp;COUNTIFS($H$3:H332,H332)</f>
        <v xml:space="preserve"> 0</v>
      </c>
      <c r="C332" s="34"/>
      <c r="D332" s="32"/>
      <c r="E332" s="32"/>
      <c r="F332" s="32"/>
      <c r="G332" s="32"/>
      <c r="H332" s="32"/>
      <c r="I332" s="105" t="str">
        <f t="shared" si="31"/>
        <v/>
      </c>
      <c r="J332" s="45"/>
      <c r="K332" s="45"/>
      <c r="L332" s="33"/>
      <c r="M332" s="32"/>
      <c r="N332" s="47"/>
      <c r="O332" s="88"/>
      <c r="P332" s="2" t="str">
        <f t="shared" si="28"/>
        <v/>
      </c>
      <c r="Q332" s="2" t="str">
        <f t="shared" si="29"/>
        <v/>
      </c>
      <c r="R332" s="156" t="str">
        <f t="shared" si="32"/>
        <v/>
      </c>
    </row>
    <row r="333" spans="1:18" x14ac:dyDescent="0.3">
      <c r="A333">
        <f t="shared" si="30"/>
        <v>0</v>
      </c>
      <c r="B333" t="str">
        <f>H333&amp;" "&amp;COUNTIFS($H$3:H333,H333)</f>
        <v xml:space="preserve"> 0</v>
      </c>
      <c r="C333" s="34"/>
      <c r="D333" s="32"/>
      <c r="E333" s="32"/>
      <c r="F333" s="32"/>
      <c r="G333" s="32"/>
      <c r="H333" s="32"/>
      <c r="I333" s="105" t="str">
        <f t="shared" si="31"/>
        <v/>
      </c>
      <c r="J333" s="45"/>
      <c r="K333" s="45"/>
      <c r="L333" s="33"/>
      <c r="M333" s="32"/>
      <c r="N333" s="47"/>
      <c r="O333" s="88"/>
      <c r="P333" s="2" t="str">
        <f t="shared" si="28"/>
        <v/>
      </c>
      <c r="Q333" s="2" t="str">
        <f t="shared" si="29"/>
        <v/>
      </c>
      <c r="R333" s="156" t="str">
        <f t="shared" si="32"/>
        <v/>
      </c>
    </row>
    <row r="334" spans="1:18" x14ac:dyDescent="0.3">
      <c r="A334">
        <f t="shared" si="30"/>
        <v>0</v>
      </c>
      <c r="B334" t="str">
        <f>H334&amp;" "&amp;COUNTIFS($H$3:H334,H334)</f>
        <v xml:space="preserve"> 0</v>
      </c>
      <c r="C334" s="34"/>
      <c r="D334" s="32"/>
      <c r="E334" s="32"/>
      <c r="F334" s="32"/>
      <c r="G334" s="32"/>
      <c r="H334" s="32"/>
      <c r="I334" s="105" t="str">
        <f t="shared" si="31"/>
        <v/>
      </c>
      <c r="J334" s="45"/>
      <c r="K334" s="45"/>
      <c r="L334" s="33"/>
      <c r="M334" s="32"/>
      <c r="N334" s="47"/>
      <c r="O334" s="88"/>
      <c r="P334" s="2" t="str">
        <f t="shared" si="28"/>
        <v/>
      </c>
      <c r="Q334" s="2" t="str">
        <f t="shared" si="29"/>
        <v/>
      </c>
      <c r="R334" s="156" t="str">
        <f t="shared" si="32"/>
        <v/>
      </c>
    </row>
    <row r="335" spans="1:18" x14ac:dyDescent="0.3">
      <c r="A335">
        <f t="shared" si="30"/>
        <v>0</v>
      </c>
      <c r="B335" t="str">
        <f>H335&amp;" "&amp;COUNTIFS($H$3:H335,H335)</f>
        <v xml:space="preserve"> 0</v>
      </c>
      <c r="C335" s="34"/>
      <c r="D335" s="32"/>
      <c r="E335" s="32"/>
      <c r="F335" s="32"/>
      <c r="G335" s="32"/>
      <c r="H335" s="32"/>
      <c r="I335" s="105" t="str">
        <f t="shared" si="31"/>
        <v/>
      </c>
      <c r="J335" s="45"/>
      <c r="K335" s="45"/>
      <c r="L335" s="33"/>
      <c r="M335" s="32"/>
      <c r="N335" s="47"/>
      <c r="O335" s="88"/>
      <c r="P335" s="2" t="str">
        <f t="shared" si="28"/>
        <v/>
      </c>
      <c r="Q335" s="2" t="str">
        <f t="shared" si="29"/>
        <v/>
      </c>
      <c r="R335" s="156" t="str">
        <f t="shared" si="32"/>
        <v/>
      </c>
    </row>
    <row r="336" spans="1:18" x14ac:dyDescent="0.3">
      <c r="A336">
        <f t="shared" si="30"/>
        <v>0</v>
      </c>
      <c r="B336" t="str">
        <f>H336&amp;" "&amp;COUNTIFS($H$3:H336,H336)</f>
        <v xml:space="preserve"> 0</v>
      </c>
      <c r="C336" s="34"/>
      <c r="D336" s="32"/>
      <c r="E336" s="32"/>
      <c r="F336" s="32"/>
      <c r="G336" s="32"/>
      <c r="H336" s="32"/>
      <c r="I336" s="105" t="str">
        <f t="shared" si="31"/>
        <v/>
      </c>
      <c r="J336" s="45"/>
      <c r="K336" s="45"/>
      <c r="L336" s="33"/>
      <c r="M336" s="32"/>
      <c r="N336" s="47"/>
      <c r="O336" s="88"/>
      <c r="P336" s="2" t="str">
        <f t="shared" si="28"/>
        <v/>
      </c>
      <c r="Q336" s="2" t="str">
        <f t="shared" si="29"/>
        <v/>
      </c>
      <c r="R336" s="156" t="str">
        <f t="shared" si="32"/>
        <v/>
      </c>
    </row>
    <row r="337" spans="1:18" x14ac:dyDescent="0.3">
      <c r="A337">
        <f t="shared" si="30"/>
        <v>0</v>
      </c>
      <c r="B337" t="str">
        <f>H337&amp;" "&amp;COUNTIFS($H$3:H337,H337)</f>
        <v xml:space="preserve"> 0</v>
      </c>
      <c r="C337" s="34"/>
      <c r="D337" s="32"/>
      <c r="E337" s="32"/>
      <c r="F337" s="32"/>
      <c r="G337" s="32"/>
      <c r="H337" s="32"/>
      <c r="I337" s="105" t="str">
        <f t="shared" si="31"/>
        <v/>
      </c>
      <c r="J337" s="45"/>
      <c r="K337" s="45"/>
      <c r="L337" s="33"/>
      <c r="M337" s="32"/>
      <c r="N337" s="47"/>
      <c r="O337" s="88"/>
      <c r="P337" s="2" t="str">
        <f t="shared" si="28"/>
        <v/>
      </c>
      <c r="Q337" s="2" t="str">
        <f t="shared" si="29"/>
        <v/>
      </c>
      <c r="R337" s="156" t="str">
        <f t="shared" si="32"/>
        <v/>
      </c>
    </row>
    <row r="338" spans="1:18" x14ac:dyDescent="0.3">
      <c r="A338">
        <f t="shared" si="30"/>
        <v>0</v>
      </c>
      <c r="B338" t="str">
        <f>H338&amp;" "&amp;COUNTIFS($H$3:H338,H338)</f>
        <v xml:space="preserve"> 0</v>
      </c>
      <c r="C338" s="34"/>
      <c r="D338" s="32"/>
      <c r="E338" s="32"/>
      <c r="F338" s="32"/>
      <c r="G338" s="32"/>
      <c r="H338" s="32"/>
      <c r="I338" s="105" t="str">
        <f t="shared" si="31"/>
        <v/>
      </c>
      <c r="J338" s="45"/>
      <c r="K338" s="45"/>
      <c r="L338" s="33"/>
      <c r="M338" s="32"/>
      <c r="N338" s="47"/>
      <c r="O338" s="88"/>
      <c r="P338" s="2" t="str">
        <f t="shared" si="28"/>
        <v/>
      </c>
      <c r="Q338" s="2" t="str">
        <f t="shared" si="29"/>
        <v/>
      </c>
      <c r="R338" s="156" t="str">
        <f t="shared" si="32"/>
        <v/>
      </c>
    </row>
    <row r="339" spans="1:18" x14ac:dyDescent="0.3">
      <c r="A339">
        <f t="shared" si="30"/>
        <v>0</v>
      </c>
      <c r="B339" t="str">
        <f>H339&amp;" "&amp;COUNTIFS($H$3:H339,H339)</f>
        <v xml:space="preserve"> 0</v>
      </c>
      <c r="C339" s="34"/>
      <c r="D339" s="32"/>
      <c r="E339" s="32"/>
      <c r="F339" s="32"/>
      <c r="G339" s="32"/>
      <c r="H339" s="32"/>
      <c r="I339" s="105" t="str">
        <f t="shared" si="31"/>
        <v/>
      </c>
      <c r="J339" s="45"/>
      <c r="K339" s="45"/>
      <c r="L339" s="33"/>
      <c r="M339" s="32"/>
      <c r="N339" s="47"/>
      <c r="O339" s="88"/>
      <c r="P339" s="2" t="str">
        <f t="shared" si="28"/>
        <v/>
      </c>
      <c r="Q339" s="2" t="str">
        <f t="shared" si="29"/>
        <v/>
      </c>
      <c r="R339" s="156" t="str">
        <f t="shared" si="32"/>
        <v/>
      </c>
    </row>
    <row r="340" spans="1:18" x14ac:dyDescent="0.3">
      <c r="A340">
        <f t="shared" si="30"/>
        <v>0</v>
      </c>
      <c r="B340" t="str">
        <f>H340&amp;" "&amp;COUNTIFS($H$3:H340,H340)</f>
        <v xml:space="preserve"> 0</v>
      </c>
      <c r="C340" s="34"/>
      <c r="D340" s="32"/>
      <c r="E340" s="32"/>
      <c r="F340" s="32"/>
      <c r="G340" s="32"/>
      <c r="H340" s="32"/>
      <c r="I340" s="105" t="str">
        <f t="shared" si="31"/>
        <v/>
      </c>
      <c r="J340" s="45"/>
      <c r="K340" s="45"/>
      <c r="L340" s="33"/>
      <c r="M340" s="32"/>
      <c r="N340" s="47"/>
      <c r="O340" s="88"/>
      <c r="P340" s="2" t="str">
        <f t="shared" si="28"/>
        <v/>
      </c>
      <c r="Q340" s="2" t="str">
        <f t="shared" si="29"/>
        <v/>
      </c>
      <c r="R340" s="156" t="str">
        <f t="shared" si="32"/>
        <v/>
      </c>
    </row>
    <row r="341" spans="1:18" x14ac:dyDescent="0.3">
      <c r="A341">
        <f t="shared" si="30"/>
        <v>0</v>
      </c>
      <c r="B341" t="str">
        <f>H341&amp;" "&amp;COUNTIFS($H$3:H341,H341)</f>
        <v xml:space="preserve"> 0</v>
      </c>
      <c r="C341" s="34"/>
      <c r="D341" s="32"/>
      <c r="E341" s="32"/>
      <c r="F341" s="32"/>
      <c r="G341" s="32"/>
      <c r="H341" s="32"/>
      <c r="I341" s="105" t="str">
        <f t="shared" si="31"/>
        <v/>
      </c>
      <c r="J341" s="45"/>
      <c r="K341" s="45"/>
      <c r="L341" s="33"/>
      <c r="M341" s="32"/>
      <c r="N341" s="47"/>
      <c r="O341" s="88"/>
      <c r="P341" s="2" t="str">
        <f t="shared" si="28"/>
        <v/>
      </c>
      <c r="Q341" s="2" t="str">
        <f t="shared" si="29"/>
        <v/>
      </c>
      <c r="R341" s="156" t="str">
        <f t="shared" si="32"/>
        <v/>
      </c>
    </row>
    <row r="342" spans="1:18" x14ac:dyDescent="0.3">
      <c r="A342">
        <f t="shared" si="30"/>
        <v>0</v>
      </c>
      <c r="B342" t="str">
        <f>H342&amp;" "&amp;COUNTIFS($H$3:H342,H342)</f>
        <v xml:space="preserve"> 0</v>
      </c>
      <c r="C342" s="34"/>
      <c r="D342" s="32"/>
      <c r="E342" s="32"/>
      <c r="F342" s="32"/>
      <c r="G342" s="32"/>
      <c r="H342" s="32"/>
      <c r="I342" s="105" t="str">
        <f t="shared" si="31"/>
        <v/>
      </c>
      <c r="J342" s="45"/>
      <c r="K342" s="45"/>
      <c r="L342" s="33"/>
      <c r="M342" s="32"/>
      <c r="N342" s="47"/>
      <c r="O342" s="88"/>
      <c r="P342" s="2" t="str">
        <f t="shared" si="28"/>
        <v/>
      </c>
      <c r="Q342" s="2" t="str">
        <f t="shared" si="29"/>
        <v/>
      </c>
      <c r="R342" s="156" t="str">
        <f t="shared" si="32"/>
        <v/>
      </c>
    </row>
    <row r="343" spans="1:18" x14ac:dyDescent="0.3">
      <c r="A343">
        <f t="shared" si="30"/>
        <v>0</v>
      </c>
      <c r="B343" t="str">
        <f>H343&amp;" "&amp;COUNTIFS($H$3:H343,H343)</f>
        <v xml:space="preserve"> 0</v>
      </c>
      <c r="C343" s="34"/>
      <c r="D343" s="32"/>
      <c r="E343" s="32"/>
      <c r="F343" s="32"/>
      <c r="G343" s="32"/>
      <c r="H343" s="32"/>
      <c r="I343" s="105" t="str">
        <f t="shared" si="31"/>
        <v/>
      </c>
      <c r="J343" s="45"/>
      <c r="K343" s="45"/>
      <c r="L343" s="33"/>
      <c r="M343" s="32"/>
      <c r="N343" s="47"/>
      <c r="O343" s="88"/>
      <c r="P343" s="2" t="str">
        <f t="shared" si="28"/>
        <v/>
      </c>
      <c r="Q343" s="2" t="str">
        <f t="shared" si="29"/>
        <v/>
      </c>
      <c r="R343" s="156" t="str">
        <f t="shared" si="32"/>
        <v/>
      </c>
    </row>
    <row r="344" spans="1:18" x14ac:dyDescent="0.3">
      <c r="A344">
        <f t="shared" si="30"/>
        <v>0</v>
      </c>
      <c r="B344" t="str">
        <f>H344&amp;" "&amp;COUNTIFS($H$3:H344,H344)</f>
        <v xml:space="preserve"> 0</v>
      </c>
      <c r="C344" s="34"/>
      <c r="D344" s="32"/>
      <c r="E344" s="32"/>
      <c r="F344" s="32"/>
      <c r="G344" s="32"/>
      <c r="H344" s="32"/>
      <c r="I344" s="105" t="str">
        <f t="shared" si="31"/>
        <v/>
      </c>
      <c r="J344" s="45"/>
      <c r="K344" s="45"/>
      <c r="L344" s="33"/>
      <c r="M344" s="32"/>
      <c r="N344" s="47"/>
      <c r="O344" s="88"/>
      <c r="P344" s="2" t="str">
        <f t="shared" si="28"/>
        <v/>
      </c>
      <c r="Q344" s="2" t="str">
        <f t="shared" si="29"/>
        <v/>
      </c>
      <c r="R344" s="156" t="str">
        <f t="shared" si="32"/>
        <v/>
      </c>
    </row>
    <row r="345" spans="1:18" x14ac:dyDescent="0.3">
      <c r="A345">
        <f t="shared" si="30"/>
        <v>0</v>
      </c>
      <c r="B345" t="str">
        <f>H345&amp;" "&amp;COUNTIFS($H$3:H345,H345)</f>
        <v xml:space="preserve"> 0</v>
      </c>
      <c r="C345" s="34"/>
      <c r="D345" s="32"/>
      <c r="E345" s="32"/>
      <c r="F345" s="32"/>
      <c r="G345" s="32"/>
      <c r="H345" s="32"/>
      <c r="I345" s="105" t="str">
        <f t="shared" si="31"/>
        <v/>
      </c>
      <c r="J345" s="45"/>
      <c r="K345" s="45"/>
      <c r="L345" s="33"/>
      <c r="M345" s="32"/>
      <c r="N345" s="47"/>
      <c r="O345" s="88"/>
      <c r="P345" s="2" t="str">
        <f t="shared" si="28"/>
        <v/>
      </c>
      <c r="Q345" s="2" t="str">
        <f t="shared" si="29"/>
        <v/>
      </c>
      <c r="R345" s="156" t="str">
        <f t="shared" si="32"/>
        <v/>
      </c>
    </row>
    <row r="346" spans="1:18" x14ac:dyDescent="0.3">
      <c r="A346">
        <f t="shared" si="30"/>
        <v>0</v>
      </c>
      <c r="B346" t="str">
        <f>H346&amp;" "&amp;COUNTIFS($H$3:H346,H346)</f>
        <v xml:space="preserve"> 0</v>
      </c>
      <c r="C346" s="34"/>
      <c r="D346" s="32"/>
      <c r="E346" s="32"/>
      <c r="F346" s="32"/>
      <c r="G346" s="32"/>
      <c r="H346" s="32"/>
      <c r="I346" s="105" t="str">
        <f t="shared" si="31"/>
        <v/>
      </c>
      <c r="J346" s="45"/>
      <c r="K346" s="45"/>
      <c r="L346" s="33"/>
      <c r="M346" s="32"/>
      <c r="N346" s="47"/>
      <c r="O346" s="88"/>
      <c r="P346" s="2" t="str">
        <f t="shared" si="28"/>
        <v/>
      </c>
      <c r="Q346" s="2" t="str">
        <f t="shared" si="29"/>
        <v/>
      </c>
      <c r="R346" s="156" t="str">
        <f t="shared" si="32"/>
        <v/>
      </c>
    </row>
    <row r="347" spans="1:18" x14ac:dyDescent="0.3">
      <c r="A347">
        <f t="shared" si="30"/>
        <v>0</v>
      </c>
      <c r="B347" t="str">
        <f>H347&amp;" "&amp;COUNTIFS($H$3:H347,H347)</f>
        <v xml:space="preserve"> 0</v>
      </c>
      <c r="C347" s="34"/>
      <c r="D347" s="32"/>
      <c r="E347" s="32"/>
      <c r="F347" s="32"/>
      <c r="G347" s="32"/>
      <c r="H347" s="32"/>
      <c r="I347" s="105" t="str">
        <f t="shared" si="31"/>
        <v/>
      </c>
      <c r="J347" s="45"/>
      <c r="K347" s="45"/>
      <c r="L347" s="33"/>
      <c r="M347" s="32"/>
      <c r="N347" s="47"/>
      <c r="O347" s="88"/>
      <c r="P347" s="2" t="str">
        <f t="shared" si="28"/>
        <v/>
      </c>
      <c r="Q347" s="2" t="str">
        <f t="shared" si="29"/>
        <v/>
      </c>
      <c r="R347" s="156" t="str">
        <f t="shared" si="32"/>
        <v/>
      </c>
    </row>
    <row r="348" spans="1:18" x14ac:dyDescent="0.3">
      <c r="A348">
        <f t="shared" si="30"/>
        <v>0</v>
      </c>
      <c r="B348" t="str">
        <f>H348&amp;" "&amp;COUNTIFS($H$3:H348,H348)</f>
        <v xml:space="preserve"> 0</v>
      </c>
      <c r="C348" s="34"/>
      <c r="D348" s="32"/>
      <c r="E348" s="32"/>
      <c r="F348" s="32"/>
      <c r="G348" s="32"/>
      <c r="H348" s="32"/>
      <c r="I348" s="105" t="str">
        <f t="shared" si="31"/>
        <v/>
      </c>
      <c r="J348" s="45"/>
      <c r="K348" s="45"/>
      <c r="L348" s="33"/>
      <c r="M348" s="32"/>
      <c r="N348" s="47"/>
      <c r="O348" s="88"/>
      <c r="P348" s="2" t="str">
        <f t="shared" si="28"/>
        <v/>
      </c>
      <c r="Q348" s="2" t="str">
        <f t="shared" si="29"/>
        <v/>
      </c>
      <c r="R348" s="156" t="str">
        <f t="shared" si="32"/>
        <v/>
      </c>
    </row>
    <row r="349" spans="1:18" x14ac:dyDescent="0.3">
      <c r="A349">
        <f t="shared" si="30"/>
        <v>0</v>
      </c>
      <c r="B349" t="str">
        <f>H349&amp;" "&amp;COUNTIFS($H$3:H349,H349)</f>
        <v xml:space="preserve"> 0</v>
      </c>
      <c r="C349" s="34"/>
      <c r="D349" s="32"/>
      <c r="E349" s="32"/>
      <c r="F349" s="32"/>
      <c r="G349" s="32"/>
      <c r="H349" s="32"/>
      <c r="I349" s="105" t="str">
        <f t="shared" si="31"/>
        <v/>
      </c>
      <c r="J349" s="45"/>
      <c r="K349" s="45"/>
      <c r="L349" s="33"/>
      <c r="M349" s="32"/>
      <c r="N349" s="47"/>
      <c r="O349" s="88"/>
      <c r="P349" s="2" t="str">
        <f t="shared" si="28"/>
        <v/>
      </c>
      <c r="Q349" s="2" t="str">
        <f t="shared" si="29"/>
        <v/>
      </c>
      <c r="R349" s="156" t="str">
        <f t="shared" si="32"/>
        <v/>
      </c>
    </row>
    <row r="350" spans="1:18" x14ac:dyDescent="0.3">
      <c r="A350">
        <f t="shared" si="30"/>
        <v>0</v>
      </c>
      <c r="B350" t="str">
        <f>H350&amp;" "&amp;COUNTIFS($H$3:H350,H350)</f>
        <v xml:space="preserve"> 0</v>
      </c>
      <c r="C350" s="34"/>
      <c r="D350" s="32"/>
      <c r="E350" s="32"/>
      <c r="F350" s="32"/>
      <c r="G350" s="32"/>
      <c r="H350" s="32"/>
      <c r="I350" s="105" t="str">
        <f t="shared" si="31"/>
        <v/>
      </c>
      <c r="J350" s="45"/>
      <c r="K350" s="45"/>
      <c r="L350" s="33"/>
      <c r="M350" s="32"/>
      <c r="N350" s="47"/>
      <c r="O350" s="88"/>
      <c r="P350" s="2" t="str">
        <f t="shared" si="28"/>
        <v/>
      </c>
      <c r="Q350" s="2" t="str">
        <f t="shared" si="29"/>
        <v/>
      </c>
      <c r="R350" s="156" t="str">
        <f t="shared" si="32"/>
        <v/>
      </c>
    </row>
    <row r="351" spans="1:18" x14ac:dyDescent="0.3">
      <c r="A351">
        <f t="shared" si="30"/>
        <v>0</v>
      </c>
      <c r="B351" t="str">
        <f>H351&amp;" "&amp;COUNTIFS($H$3:H351,H351)</f>
        <v xml:space="preserve"> 0</v>
      </c>
      <c r="C351" s="34"/>
      <c r="D351" s="32"/>
      <c r="E351" s="32"/>
      <c r="F351" s="32"/>
      <c r="G351" s="32"/>
      <c r="H351" s="32"/>
      <c r="I351" s="105" t="str">
        <f t="shared" si="31"/>
        <v/>
      </c>
      <c r="J351" s="45"/>
      <c r="K351" s="45"/>
      <c r="L351" s="33"/>
      <c r="M351" s="32"/>
      <c r="N351" s="47"/>
      <c r="O351" s="88"/>
      <c r="P351" s="2" t="str">
        <f t="shared" si="28"/>
        <v/>
      </c>
      <c r="Q351" s="2" t="str">
        <f t="shared" si="29"/>
        <v/>
      </c>
      <c r="R351" s="156" t="str">
        <f t="shared" si="32"/>
        <v/>
      </c>
    </row>
    <row r="352" spans="1:18" x14ac:dyDescent="0.3">
      <c r="A352">
        <f t="shared" si="30"/>
        <v>0</v>
      </c>
      <c r="B352" t="str">
        <f>H352&amp;" "&amp;COUNTIFS($H$3:H352,H352)</f>
        <v xml:space="preserve"> 0</v>
      </c>
      <c r="C352" s="34"/>
      <c r="D352" s="32"/>
      <c r="E352" s="32"/>
      <c r="F352" s="32"/>
      <c r="G352" s="32"/>
      <c r="H352" s="32"/>
      <c r="I352" s="105" t="str">
        <f t="shared" si="31"/>
        <v/>
      </c>
      <c r="J352" s="45"/>
      <c r="K352" s="45"/>
      <c r="L352" s="33"/>
      <c r="M352" s="32"/>
      <c r="N352" s="47"/>
      <c r="O352" s="88"/>
      <c r="P352" s="2" t="str">
        <f t="shared" si="28"/>
        <v/>
      </c>
      <c r="Q352" s="2" t="str">
        <f t="shared" si="29"/>
        <v/>
      </c>
      <c r="R352" s="156" t="str">
        <f t="shared" si="32"/>
        <v/>
      </c>
    </row>
    <row r="353" spans="1:18" x14ac:dyDescent="0.3">
      <c r="A353">
        <f t="shared" si="30"/>
        <v>0</v>
      </c>
      <c r="B353" t="str">
        <f>H353&amp;" "&amp;COUNTIFS($H$3:H353,H353)</f>
        <v xml:space="preserve"> 0</v>
      </c>
      <c r="C353" s="34"/>
      <c r="D353" s="32"/>
      <c r="E353" s="32"/>
      <c r="F353" s="32"/>
      <c r="G353" s="32"/>
      <c r="H353" s="32"/>
      <c r="I353" s="105" t="str">
        <f t="shared" si="31"/>
        <v/>
      </c>
      <c r="J353" s="45"/>
      <c r="K353" s="45"/>
      <c r="L353" s="33"/>
      <c r="M353" s="32"/>
      <c r="N353" s="47"/>
      <c r="O353" s="88"/>
      <c r="P353" s="2" t="str">
        <f t="shared" si="28"/>
        <v/>
      </c>
      <c r="Q353" s="2" t="str">
        <f t="shared" si="29"/>
        <v/>
      </c>
      <c r="R353" s="156" t="str">
        <f t="shared" si="32"/>
        <v/>
      </c>
    </row>
    <row r="354" spans="1:18" x14ac:dyDescent="0.3">
      <c r="A354">
        <f t="shared" si="30"/>
        <v>0</v>
      </c>
      <c r="B354" t="str">
        <f>H354&amp;" "&amp;COUNTIFS($H$3:H354,H354)</f>
        <v xml:space="preserve"> 0</v>
      </c>
      <c r="C354" s="34"/>
      <c r="D354" s="32"/>
      <c r="E354" s="32"/>
      <c r="F354" s="32"/>
      <c r="G354" s="32"/>
      <c r="H354" s="32"/>
      <c r="I354" s="105" t="str">
        <f t="shared" si="31"/>
        <v/>
      </c>
      <c r="J354" s="45"/>
      <c r="K354" s="45"/>
      <c r="L354" s="33"/>
      <c r="M354" s="32"/>
      <c r="N354" s="47"/>
      <c r="O354" s="88"/>
      <c r="P354" s="2" t="str">
        <f t="shared" si="28"/>
        <v/>
      </c>
      <c r="Q354" s="2" t="str">
        <f t="shared" si="29"/>
        <v/>
      </c>
      <c r="R354" s="156" t="str">
        <f t="shared" si="32"/>
        <v/>
      </c>
    </row>
    <row r="355" spans="1:18" x14ac:dyDescent="0.3">
      <c r="A355">
        <f t="shared" si="30"/>
        <v>0</v>
      </c>
      <c r="B355" t="str">
        <f>H355&amp;" "&amp;COUNTIFS($H$3:H355,H355)</f>
        <v xml:space="preserve"> 0</v>
      </c>
      <c r="C355" s="34"/>
      <c r="D355" s="32"/>
      <c r="E355" s="32"/>
      <c r="F355" s="32"/>
      <c r="G355" s="32"/>
      <c r="H355" s="32"/>
      <c r="I355" s="105" t="str">
        <f t="shared" si="31"/>
        <v/>
      </c>
      <c r="J355" s="45"/>
      <c r="K355" s="45"/>
      <c r="L355" s="33"/>
      <c r="M355" s="32"/>
      <c r="N355" s="47"/>
      <c r="O355" s="88"/>
      <c r="P355" s="2" t="str">
        <f t="shared" si="28"/>
        <v/>
      </c>
      <c r="Q355" s="2" t="str">
        <f t="shared" si="29"/>
        <v/>
      </c>
      <c r="R355" s="156" t="str">
        <f t="shared" si="32"/>
        <v/>
      </c>
    </row>
    <row r="356" spans="1:18" x14ac:dyDescent="0.3">
      <c r="A356">
        <f t="shared" si="30"/>
        <v>0</v>
      </c>
      <c r="B356" t="str">
        <f>H356&amp;" "&amp;COUNTIFS($H$3:H356,H356)</f>
        <v xml:space="preserve"> 0</v>
      </c>
      <c r="C356" s="34"/>
      <c r="D356" s="32"/>
      <c r="E356" s="32"/>
      <c r="F356" s="32"/>
      <c r="G356" s="32"/>
      <c r="H356" s="32"/>
      <c r="I356" s="105" t="str">
        <f t="shared" si="31"/>
        <v/>
      </c>
      <c r="J356" s="45"/>
      <c r="K356" s="45"/>
      <c r="L356" s="33"/>
      <c r="M356" s="32"/>
      <c r="N356" s="47"/>
      <c r="O356" s="88"/>
      <c r="P356" s="2" t="str">
        <f t="shared" si="28"/>
        <v/>
      </c>
      <c r="Q356" s="2" t="str">
        <f t="shared" si="29"/>
        <v/>
      </c>
      <c r="R356" s="156" t="str">
        <f t="shared" si="32"/>
        <v/>
      </c>
    </row>
    <row r="357" spans="1:18" x14ac:dyDescent="0.3">
      <c r="A357">
        <f t="shared" si="30"/>
        <v>0</v>
      </c>
      <c r="B357" t="str">
        <f>H357&amp;" "&amp;COUNTIFS($H$3:H357,H357)</f>
        <v xml:space="preserve"> 0</v>
      </c>
      <c r="C357" s="34"/>
      <c r="D357" s="32"/>
      <c r="E357" s="32"/>
      <c r="F357" s="32"/>
      <c r="G357" s="32"/>
      <c r="H357" s="32"/>
      <c r="I357" s="105" t="str">
        <f t="shared" si="31"/>
        <v/>
      </c>
      <c r="J357" s="45"/>
      <c r="K357" s="45"/>
      <c r="L357" s="33"/>
      <c r="M357" s="32"/>
      <c r="N357" s="47"/>
      <c r="O357" s="88"/>
      <c r="P357" s="2" t="str">
        <f t="shared" si="28"/>
        <v/>
      </c>
      <c r="Q357" s="2" t="str">
        <f t="shared" si="29"/>
        <v/>
      </c>
      <c r="R357" s="156" t="str">
        <f t="shared" si="32"/>
        <v/>
      </c>
    </row>
    <row r="358" spans="1:18" x14ac:dyDescent="0.3">
      <c r="A358">
        <f t="shared" si="30"/>
        <v>0</v>
      </c>
      <c r="B358" t="str">
        <f>H358&amp;" "&amp;COUNTIFS($H$3:H358,H358)</f>
        <v xml:space="preserve"> 0</v>
      </c>
      <c r="C358" s="34"/>
      <c r="D358" s="32"/>
      <c r="E358" s="32"/>
      <c r="F358" s="32"/>
      <c r="G358" s="32"/>
      <c r="H358" s="32"/>
      <c r="I358" s="105" t="str">
        <f t="shared" si="31"/>
        <v/>
      </c>
      <c r="J358" s="45"/>
      <c r="K358" s="45"/>
      <c r="L358" s="33"/>
      <c r="M358" s="32"/>
      <c r="N358" s="47"/>
      <c r="O358" s="88"/>
      <c r="P358" s="2" t="str">
        <f t="shared" si="28"/>
        <v/>
      </c>
      <c r="Q358" s="2" t="str">
        <f t="shared" si="29"/>
        <v/>
      </c>
      <c r="R358" s="156" t="str">
        <f t="shared" si="32"/>
        <v/>
      </c>
    </row>
    <row r="359" spans="1:18" x14ac:dyDescent="0.3">
      <c r="A359">
        <f t="shared" si="30"/>
        <v>0</v>
      </c>
      <c r="B359" t="str">
        <f>H359&amp;" "&amp;COUNTIFS($H$3:H359,H359)</f>
        <v xml:space="preserve"> 0</v>
      </c>
      <c r="C359" s="34"/>
      <c r="D359" s="32"/>
      <c r="E359" s="32"/>
      <c r="F359" s="32"/>
      <c r="G359" s="32"/>
      <c r="H359" s="32"/>
      <c r="I359" s="105" t="str">
        <f t="shared" si="31"/>
        <v/>
      </c>
      <c r="J359" s="45"/>
      <c r="K359" s="45"/>
      <c r="L359" s="33"/>
      <c r="M359" s="32"/>
      <c r="N359" s="47"/>
      <c r="O359" s="88"/>
      <c r="P359" s="2" t="str">
        <f t="shared" si="28"/>
        <v/>
      </c>
      <c r="Q359" s="2" t="str">
        <f t="shared" si="29"/>
        <v/>
      </c>
      <c r="R359" s="156" t="str">
        <f t="shared" si="32"/>
        <v/>
      </c>
    </row>
    <row r="360" spans="1:18" x14ac:dyDescent="0.3">
      <c r="A360">
        <f t="shared" si="30"/>
        <v>0</v>
      </c>
      <c r="B360" t="str">
        <f>H360&amp;" "&amp;COUNTIFS($H$3:H360,H360)</f>
        <v xml:space="preserve"> 0</v>
      </c>
      <c r="C360" s="34"/>
      <c r="D360" s="32"/>
      <c r="E360" s="32"/>
      <c r="F360" s="32"/>
      <c r="G360" s="32"/>
      <c r="H360" s="32"/>
      <c r="I360" s="105" t="str">
        <f t="shared" si="31"/>
        <v/>
      </c>
      <c r="J360" s="45"/>
      <c r="K360" s="45"/>
      <c r="L360" s="33"/>
      <c r="M360" s="32"/>
      <c r="N360" s="47"/>
      <c r="O360" s="88"/>
      <c r="P360" s="2" t="str">
        <f t="shared" si="28"/>
        <v/>
      </c>
      <c r="Q360" s="2" t="str">
        <f t="shared" si="29"/>
        <v/>
      </c>
      <c r="R360" s="156" t="str">
        <f t="shared" si="32"/>
        <v/>
      </c>
    </row>
    <row r="361" spans="1:18" x14ac:dyDescent="0.3">
      <c r="A361">
        <f t="shared" si="30"/>
        <v>0</v>
      </c>
      <c r="B361" t="str">
        <f>H361&amp;" "&amp;COUNTIFS($H$3:H361,H361)</f>
        <v xml:space="preserve"> 0</v>
      </c>
      <c r="C361" s="34"/>
      <c r="D361" s="32"/>
      <c r="E361" s="32"/>
      <c r="F361" s="32"/>
      <c r="G361" s="32"/>
      <c r="H361" s="32"/>
      <c r="I361" s="105" t="str">
        <f t="shared" si="31"/>
        <v/>
      </c>
      <c r="J361" s="45"/>
      <c r="K361" s="45"/>
      <c r="L361" s="33"/>
      <c r="M361" s="32"/>
      <c r="N361" s="47"/>
      <c r="O361" s="88"/>
      <c r="P361" s="2" t="str">
        <f t="shared" si="28"/>
        <v/>
      </c>
      <c r="Q361" s="2" t="str">
        <f t="shared" si="29"/>
        <v/>
      </c>
      <c r="R361" s="156" t="str">
        <f t="shared" si="32"/>
        <v/>
      </c>
    </row>
    <row r="362" spans="1:18" x14ac:dyDescent="0.3">
      <c r="A362">
        <f t="shared" si="30"/>
        <v>0</v>
      </c>
      <c r="B362" t="str">
        <f>H362&amp;" "&amp;COUNTIFS($H$3:H362,H362)</f>
        <v xml:space="preserve"> 0</v>
      </c>
      <c r="C362" s="34"/>
      <c r="D362" s="32"/>
      <c r="E362" s="32"/>
      <c r="F362" s="32"/>
      <c r="G362" s="32"/>
      <c r="H362" s="32"/>
      <c r="I362" s="105" t="str">
        <f t="shared" si="31"/>
        <v/>
      </c>
      <c r="J362" s="45"/>
      <c r="K362" s="45"/>
      <c r="L362" s="33"/>
      <c r="M362" s="32"/>
      <c r="N362" s="47"/>
      <c r="O362" s="88"/>
      <c r="P362" s="2" t="str">
        <f t="shared" si="28"/>
        <v/>
      </c>
      <c r="Q362" s="2" t="str">
        <f t="shared" si="29"/>
        <v/>
      </c>
      <c r="R362" s="156" t="str">
        <f t="shared" si="32"/>
        <v/>
      </c>
    </row>
    <row r="363" spans="1:18" x14ac:dyDescent="0.3">
      <c r="A363">
        <f t="shared" si="30"/>
        <v>0</v>
      </c>
      <c r="B363" t="str">
        <f>H363&amp;" "&amp;COUNTIFS($H$3:H363,H363)</f>
        <v xml:space="preserve"> 0</v>
      </c>
      <c r="C363" s="34"/>
      <c r="D363" s="32"/>
      <c r="E363" s="32"/>
      <c r="F363" s="32"/>
      <c r="G363" s="32"/>
      <c r="H363" s="32"/>
      <c r="I363" s="105" t="str">
        <f t="shared" si="31"/>
        <v/>
      </c>
      <c r="J363" s="45"/>
      <c r="K363" s="45"/>
      <c r="L363" s="33"/>
      <c r="M363" s="32"/>
      <c r="N363" s="47"/>
      <c r="O363" s="88"/>
      <c r="P363" s="2" t="str">
        <f t="shared" si="28"/>
        <v/>
      </c>
      <c r="Q363" s="2" t="str">
        <f t="shared" si="29"/>
        <v/>
      </c>
      <c r="R363" s="156" t="str">
        <f t="shared" si="32"/>
        <v/>
      </c>
    </row>
    <row r="364" spans="1:18" x14ac:dyDescent="0.3">
      <c r="A364">
        <f t="shared" si="30"/>
        <v>0</v>
      </c>
      <c r="B364" t="str">
        <f>H364&amp;" "&amp;COUNTIFS($H$3:H364,H364)</f>
        <v xml:space="preserve"> 0</v>
      </c>
      <c r="C364" s="34"/>
      <c r="D364" s="32"/>
      <c r="E364" s="32"/>
      <c r="F364" s="32"/>
      <c r="G364" s="32"/>
      <c r="H364" s="32"/>
      <c r="I364" s="105" t="str">
        <f t="shared" si="31"/>
        <v/>
      </c>
      <c r="J364" s="45"/>
      <c r="K364" s="45"/>
      <c r="L364" s="33"/>
      <c r="M364" s="32"/>
      <c r="N364" s="47"/>
      <c r="O364" s="88"/>
      <c r="P364" s="2" t="str">
        <f t="shared" si="28"/>
        <v/>
      </c>
      <c r="Q364" s="2" t="str">
        <f t="shared" si="29"/>
        <v/>
      </c>
      <c r="R364" s="156" t="str">
        <f t="shared" si="32"/>
        <v/>
      </c>
    </row>
    <row r="365" spans="1:18" x14ac:dyDescent="0.3">
      <c r="A365">
        <f t="shared" si="30"/>
        <v>0</v>
      </c>
      <c r="B365" t="str">
        <f>H365&amp;" "&amp;COUNTIFS($H$3:H365,H365)</f>
        <v xml:space="preserve"> 0</v>
      </c>
      <c r="C365" s="34"/>
      <c r="D365" s="32"/>
      <c r="E365" s="32"/>
      <c r="F365" s="32"/>
      <c r="G365" s="32"/>
      <c r="H365" s="32"/>
      <c r="I365" s="105" t="str">
        <f t="shared" si="31"/>
        <v/>
      </c>
      <c r="J365" s="45"/>
      <c r="K365" s="45"/>
      <c r="L365" s="33"/>
      <c r="M365" s="32"/>
      <c r="N365" s="47"/>
      <c r="O365" s="88"/>
      <c r="P365" s="2" t="str">
        <f t="shared" si="28"/>
        <v/>
      </c>
      <c r="Q365" s="2" t="str">
        <f t="shared" si="29"/>
        <v/>
      </c>
      <c r="R365" s="156" t="str">
        <f t="shared" si="32"/>
        <v/>
      </c>
    </row>
    <row r="366" spans="1:18" x14ac:dyDescent="0.3">
      <c r="A366">
        <f t="shared" si="30"/>
        <v>0</v>
      </c>
      <c r="B366" t="str">
        <f>H366&amp;" "&amp;COUNTIFS($H$3:H366,H366)</f>
        <v xml:space="preserve"> 0</v>
      </c>
      <c r="C366" s="34"/>
      <c r="D366" s="32"/>
      <c r="E366" s="32"/>
      <c r="F366" s="32"/>
      <c r="G366" s="32"/>
      <c r="H366" s="32"/>
      <c r="I366" s="105" t="str">
        <f t="shared" si="31"/>
        <v/>
      </c>
      <c r="J366" s="45"/>
      <c r="K366" s="45"/>
      <c r="L366" s="33"/>
      <c r="M366" s="32"/>
      <c r="N366" s="47"/>
      <c r="O366" s="88"/>
      <c r="P366" s="2" t="str">
        <f t="shared" si="28"/>
        <v/>
      </c>
      <c r="Q366" s="2" t="str">
        <f t="shared" si="29"/>
        <v/>
      </c>
      <c r="R366" s="156" t="str">
        <f t="shared" si="32"/>
        <v/>
      </c>
    </row>
    <row r="367" spans="1:18" x14ac:dyDescent="0.3">
      <c r="A367">
        <f t="shared" si="30"/>
        <v>0</v>
      </c>
      <c r="B367" t="str">
        <f>H367&amp;" "&amp;COUNTIFS($H$3:H367,H367)</f>
        <v xml:space="preserve"> 0</v>
      </c>
      <c r="C367" s="34"/>
      <c r="D367" s="32"/>
      <c r="E367" s="32"/>
      <c r="F367" s="32"/>
      <c r="G367" s="32"/>
      <c r="H367" s="32"/>
      <c r="I367" s="105" t="str">
        <f t="shared" si="31"/>
        <v/>
      </c>
      <c r="J367" s="45"/>
      <c r="K367" s="45"/>
      <c r="L367" s="33"/>
      <c r="M367" s="32"/>
      <c r="N367" s="47"/>
      <c r="O367" s="88"/>
      <c r="P367" s="2" t="str">
        <f t="shared" si="28"/>
        <v/>
      </c>
      <c r="Q367" s="2" t="str">
        <f t="shared" si="29"/>
        <v/>
      </c>
      <c r="R367" s="156" t="str">
        <f t="shared" si="32"/>
        <v/>
      </c>
    </row>
    <row r="368" spans="1:18" x14ac:dyDescent="0.3">
      <c r="A368">
        <f t="shared" si="30"/>
        <v>0</v>
      </c>
      <c r="B368" t="str">
        <f>H368&amp;" "&amp;COUNTIFS($H$3:H368,H368)</f>
        <v xml:space="preserve"> 0</v>
      </c>
      <c r="C368" s="34"/>
      <c r="D368" s="32"/>
      <c r="E368" s="32"/>
      <c r="F368" s="32"/>
      <c r="G368" s="32"/>
      <c r="H368" s="32"/>
      <c r="I368" s="105" t="str">
        <f t="shared" si="31"/>
        <v/>
      </c>
      <c r="J368" s="45"/>
      <c r="K368" s="45"/>
      <c r="L368" s="33"/>
      <c r="M368" s="32"/>
      <c r="N368" s="47"/>
      <c r="O368" s="88"/>
      <c r="P368" s="2" t="str">
        <f t="shared" si="28"/>
        <v/>
      </c>
      <c r="Q368" s="2" t="str">
        <f t="shared" si="29"/>
        <v/>
      </c>
      <c r="R368" s="156" t="str">
        <f t="shared" si="32"/>
        <v/>
      </c>
    </row>
    <row r="369" spans="1:18" x14ac:dyDescent="0.3">
      <c r="A369">
        <f t="shared" si="30"/>
        <v>0</v>
      </c>
      <c r="B369" t="str">
        <f>H369&amp;" "&amp;COUNTIFS($H$3:H369,H369)</f>
        <v xml:space="preserve"> 0</v>
      </c>
      <c r="C369" s="34"/>
      <c r="D369" s="32"/>
      <c r="E369" s="32"/>
      <c r="F369" s="32"/>
      <c r="G369" s="32"/>
      <c r="H369" s="32"/>
      <c r="I369" s="105" t="str">
        <f t="shared" si="31"/>
        <v/>
      </c>
      <c r="J369" s="45"/>
      <c r="K369" s="45"/>
      <c r="L369" s="33"/>
      <c r="M369" s="32"/>
      <c r="N369" s="47"/>
      <c r="O369" s="88"/>
      <c r="P369" s="2" t="str">
        <f t="shared" si="28"/>
        <v/>
      </c>
      <c r="Q369" s="2" t="str">
        <f t="shared" si="29"/>
        <v/>
      </c>
      <c r="R369" s="156" t="str">
        <f t="shared" si="32"/>
        <v/>
      </c>
    </row>
    <row r="370" spans="1:18" x14ac:dyDescent="0.3">
      <c r="A370">
        <f t="shared" si="30"/>
        <v>0</v>
      </c>
      <c r="B370" t="str">
        <f>H370&amp;" "&amp;COUNTIFS($H$3:H370,H370)</f>
        <v xml:space="preserve"> 0</v>
      </c>
      <c r="C370" s="34"/>
      <c r="D370" s="32"/>
      <c r="E370" s="32"/>
      <c r="F370" s="32"/>
      <c r="G370" s="32"/>
      <c r="H370" s="32"/>
      <c r="I370" s="105" t="str">
        <f t="shared" si="31"/>
        <v/>
      </c>
      <c r="J370" s="45"/>
      <c r="K370" s="45"/>
      <c r="L370" s="33"/>
      <c r="M370" s="32"/>
      <c r="N370" s="47"/>
      <c r="O370" s="88"/>
      <c r="P370" s="2" t="str">
        <f t="shared" si="28"/>
        <v/>
      </c>
      <c r="Q370" s="2" t="str">
        <f t="shared" si="29"/>
        <v/>
      </c>
      <c r="R370" s="156" t="str">
        <f t="shared" si="32"/>
        <v/>
      </c>
    </row>
    <row r="371" spans="1:18" x14ac:dyDescent="0.3">
      <c r="A371">
        <f t="shared" si="30"/>
        <v>0</v>
      </c>
      <c r="B371" t="str">
        <f>H371&amp;" "&amp;COUNTIFS($H$3:H371,H371)</f>
        <v xml:space="preserve"> 0</v>
      </c>
      <c r="C371" s="34"/>
      <c r="D371" s="32"/>
      <c r="E371" s="32"/>
      <c r="F371" s="32"/>
      <c r="G371" s="32"/>
      <c r="H371" s="32"/>
      <c r="I371" s="105" t="str">
        <f t="shared" si="31"/>
        <v/>
      </c>
      <c r="J371" s="45"/>
      <c r="K371" s="45"/>
      <c r="L371" s="33"/>
      <c r="M371" s="32"/>
      <c r="N371" s="47"/>
      <c r="O371" s="88"/>
      <c r="P371" s="2" t="str">
        <f t="shared" si="28"/>
        <v/>
      </c>
      <c r="Q371" s="2" t="str">
        <f t="shared" si="29"/>
        <v/>
      </c>
      <c r="R371" s="156" t="str">
        <f t="shared" si="32"/>
        <v/>
      </c>
    </row>
    <row r="372" spans="1:18" x14ac:dyDescent="0.3">
      <c r="A372">
        <f t="shared" si="30"/>
        <v>0</v>
      </c>
      <c r="B372" t="str">
        <f>H372&amp;" "&amp;COUNTIFS($H$3:H372,H372)</f>
        <v xml:space="preserve"> 0</v>
      </c>
      <c r="C372" s="34"/>
      <c r="D372" s="32"/>
      <c r="E372" s="32"/>
      <c r="F372" s="32"/>
      <c r="G372" s="32"/>
      <c r="H372" s="32"/>
      <c r="I372" s="105" t="str">
        <f t="shared" si="31"/>
        <v/>
      </c>
      <c r="J372" s="45"/>
      <c r="K372" s="45"/>
      <c r="L372" s="33"/>
      <c r="M372" s="32"/>
      <c r="N372" s="47"/>
      <c r="O372" s="88"/>
      <c r="P372" s="2" t="str">
        <f t="shared" si="28"/>
        <v/>
      </c>
      <c r="Q372" s="2" t="str">
        <f t="shared" si="29"/>
        <v/>
      </c>
      <c r="R372" s="156" t="str">
        <f t="shared" si="32"/>
        <v/>
      </c>
    </row>
    <row r="373" spans="1:18" x14ac:dyDescent="0.3">
      <c r="A373">
        <f t="shared" si="30"/>
        <v>0</v>
      </c>
      <c r="B373" t="str">
        <f>H373&amp;" "&amp;COUNTIFS($H$3:H373,H373)</f>
        <v xml:space="preserve"> 0</v>
      </c>
      <c r="C373" s="34"/>
      <c r="D373" s="32"/>
      <c r="E373" s="32"/>
      <c r="F373" s="32"/>
      <c r="G373" s="32"/>
      <c r="H373" s="32"/>
      <c r="I373" s="105" t="str">
        <f t="shared" si="31"/>
        <v/>
      </c>
      <c r="J373" s="45"/>
      <c r="K373" s="45"/>
      <c r="L373" s="33"/>
      <c r="M373" s="32"/>
      <c r="N373" s="47"/>
      <c r="O373" s="88"/>
      <c r="P373" s="2" t="str">
        <f t="shared" si="28"/>
        <v/>
      </c>
      <c r="Q373" s="2" t="str">
        <f t="shared" si="29"/>
        <v/>
      </c>
      <c r="R373" s="156" t="str">
        <f t="shared" si="32"/>
        <v/>
      </c>
    </row>
    <row r="374" spans="1:18" x14ac:dyDescent="0.3">
      <c r="A374">
        <f t="shared" si="30"/>
        <v>0</v>
      </c>
      <c r="B374" t="str">
        <f>H374&amp;" "&amp;COUNTIFS($H$3:H374,H374)</f>
        <v xml:space="preserve"> 0</v>
      </c>
      <c r="C374" s="34"/>
      <c r="D374" s="32"/>
      <c r="E374" s="32"/>
      <c r="F374" s="32"/>
      <c r="G374" s="32"/>
      <c r="H374" s="32"/>
      <c r="I374" s="105" t="str">
        <f t="shared" si="31"/>
        <v/>
      </c>
      <c r="J374" s="45"/>
      <c r="K374" s="45"/>
      <c r="L374" s="33"/>
      <c r="M374" s="32"/>
      <c r="N374" s="47"/>
      <c r="O374" s="88"/>
      <c r="P374" s="2" t="str">
        <f t="shared" si="28"/>
        <v/>
      </c>
      <c r="Q374" s="2" t="str">
        <f t="shared" si="29"/>
        <v/>
      </c>
      <c r="R374" s="156" t="str">
        <f t="shared" si="32"/>
        <v/>
      </c>
    </row>
    <row r="375" spans="1:18" x14ac:dyDescent="0.3">
      <c r="A375">
        <f t="shared" si="30"/>
        <v>0</v>
      </c>
      <c r="B375" t="str">
        <f>H375&amp;" "&amp;COUNTIFS($H$3:H375,H375)</f>
        <v xml:space="preserve"> 0</v>
      </c>
      <c r="C375" s="34"/>
      <c r="D375" s="32"/>
      <c r="E375" s="32"/>
      <c r="F375" s="32"/>
      <c r="G375" s="32"/>
      <c r="H375" s="32"/>
      <c r="I375" s="105" t="str">
        <f t="shared" si="31"/>
        <v/>
      </c>
      <c r="J375" s="45"/>
      <c r="K375" s="45"/>
      <c r="L375" s="33"/>
      <c r="M375" s="32"/>
      <c r="N375" s="47"/>
      <c r="O375" s="88"/>
      <c r="P375" s="2" t="str">
        <f t="shared" si="28"/>
        <v/>
      </c>
      <c r="Q375" s="2" t="str">
        <f t="shared" si="29"/>
        <v/>
      </c>
      <c r="R375" s="156" t="str">
        <f t="shared" si="32"/>
        <v/>
      </c>
    </row>
    <row r="376" spans="1:18" x14ac:dyDescent="0.3">
      <c r="A376">
        <f t="shared" si="30"/>
        <v>0</v>
      </c>
      <c r="B376" t="str">
        <f>H376&amp;" "&amp;COUNTIFS($H$3:H376,H376)</f>
        <v xml:space="preserve"> 0</v>
      </c>
      <c r="C376" s="34"/>
      <c r="D376" s="32"/>
      <c r="E376" s="32"/>
      <c r="F376" s="32"/>
      <c r="G376" s="32"/>
      <c r="H376" s="32"/>
      <c r="I376" s="105" t="str">
        <f t="shared" si="31"/>
        <v/>
      </c>
      <c r="J376" s="45"/>
      <c r="K376" s="45"/>
      <c r="L376" s="33"/>
      <c r="M376" s="32"/>
      <c r="N376" s="47"/>
      <c r="O376" s="88"/>
      <c r="P376" s="2" t="str">
        <f t="shared" si="28"/>
        <v/>
      </c>
      <c r="Q376" s="2" t="str">
        <f t="shared" si="29"/>
        <v/>
      </c>
      <c r="R376" s="156" t="str">
        <f t="shared" si="32"/>
        <v/>
      </c>
    </row>
    <row r="377" spans="1:18" x14ac:dyDescent="0.3">
      <c r="A377">
        <f t="shared" si="30"/>
        <v>0</v>
      </c>
      <c r="B377" t="str">
        <f>H377&amp;" "&amp;COUNTIFS($H$3:H377,H377)</f>
        <v xml:space="preserve"> 0</v>
      </c>
      <c r="C377" s="34"/>
      <c r="D377" s="32"/>
      <c r="E377" s="32"/>
      <c r="F377" s="32"/>
      <c r="G377" s="32"/>
      <c r="H377" s="32"/>
      <c r="I377" s="105" t="str">
        <f t="shared" si="31"/>
        <v/>
      </c>
      <c r="J377" s="45"/>
      <c r="K377" s="45"/>
      <c r="L377" s="33"/>
      <c r="M377" s="32"/>
      <c r="N377" s="47"/>
      <c r="O377" s="88"/>
      <c r="P377" s="2" t="str">
        <f t="shared" si="28"/>
        <v/>
      </c>
      <c r="Q377" s="2" t="str">
        <f t="shared" si="29"/>
        <v/>
      </c>
      <c r="R377" s="156" t="str">
        <f t="shared" si="32"/>
        <v/>
      </c>
    </row>
    <row r="378" spans="1:18" x14ac:dyDescent="0.3">
      <c r="A378">
        <f t="shared" si="30"/>
        <v>0</v>
      </c>
      <c r="B378" t="str">
        <f>H378&amp;" "&amp;COUNTIFS($H$3:H378,H378)</f>
        <v xml:space="preserve"> 0</v>
      </c>
      <c r="C378" s="34"/>
      <c r="D378" s="32"/>
      <c r="E378" s="32"/>
      <c r="F378" s="32"/>
      <c r="G378" s="32"/>
      <c r="H378" s="32"/>
      <c r="I378" s="105" t="str">
        <f t="shared" si="31"/>
        <v/>
      </c>
      <c r="J378" s="45"/>
      <c r="K378" s="45"/>
      <c r="L378" s="33"/>
      <c r="M378" s="32"/>
      <c r="N378" s="47"/>
      <c r="O378" s="88"/>
      <c r="P378" s="2" t="str">
        <f t="shared" si="28"/>
        <v/>
      </c>
      <c r="Q378" s="2" t="str">
        <f t="shared" si="29"/>
        <v/>
      </c>
      <c r="R378" s="156" t="str">
        <f t="shared" si="32"/>
        <v/>
      </c>
    </row>
    <row r="379" spans="1:18" x14ac:dyDescent="0.3">
      <c r="A379">
        <f t="shared" si="30"/>
        <v>0</v>
      </c>
      <c r="B379" t="str">
        <f>H379&amp;" "&amp;COUNTIFS($H$3:H379,H379)</f>
        <v xml:space="preserve"> 0</v>
      </c>
      <c r="C379" s="34"/>
      <c r="D379" s="32"/>
      <c r="E379" s="32"/>
      <c r="F379" s="32"/>
      <c r="G379" s="32"/>
      <c r="H379" s="32"/>
      <c r="I379" s="105" t="str">
        <f t="shared" si="31"/>
        <v/>
      </c>
      <c r="J379" s="45"/>
      <c r="K379" s="45"/>
      <c r="L379" s="33"/>
      <c r="M379" s="32"/>
      <c r="N379" s="47"/>
      <c r="O379" s="88"/>
      <c r="P379" s="2" t="str">
        <f t="shared" si="28"/>
        <v/>
      </c>
      <c r="Q379" s="2" t="str">
        <f t="shared" si="29"/>
        <v/>
      </c>
      <c r="R379" s="156" t="str">
        <f t="shared" si="32"/>
        <v/>
      </c>
    </row>
    <row r="380" spans="1:18" x14ac:dyDescent="0.3">
      <c r="A380">
        <f t="shared" si="30"/>
        <v>0</v>
      </c>
      <c r="B380" t="str">
        <f>H380&amp;" "&amp;COUNTIFS($H$3:H380,H380)</f>
        <v xml:space="preserve"> 0</v>
      </c>
      <c r="C380" s="34"/>
      <c r="D380" s="32"/>
      <c r="E380" s="32"/>
      <c r="F380" s="32"/>
      <c r="G380" s="32"/>
      <c r="H380" s="32"/>
      <c r="I380" s="105" t="str">
        <f t="shared" si="31"/>
        <v/>
      </c>
      <c r="J380" s="45"/>
      <c r="K380" s="45"/>
      <c r="L380" s="33"/>
      <c r="M380" s="32"/>
      <c r="N380" s="47"/>
      <c r="O380" s="88"/>
      <c r="P380" s="2" t="str">
        <f t="shared" si="28"/>
        <v/>
      </c>
      <c r="Q380" s="2" t="str">
        <f t="shared" si="29"/>
        <v/>
      </c>
      <c r="R380" s="156" t="str">
        <f t="shared" si="32"/>
        <v/>
      </c>
    </row>
    <row r="381" spans="1:18" x14ac:dyDescent="0.3">
      <c r="A381">
        <f t="shared" si="30"/>
        <v>0</v>
      </c>
      <c r="B381" t="str">
        <f>H381&amp;" "&amp;COUNTIFS($H$3:H381,H381)</f>
        <v xml:space="preserve"> 0</v>
      </c>
      <c r="C381" s="34"/>
      <c r="D381" s="32"/>
      <c r="E381" s="32"/>
      <c r="F381" s="32"/>
      <c r="G381" s="32"/>
      <c r="H381" s="32"/>
      <c r="I381" s="105" t="str">
        <f t="shared" si="31"/>
        <v/>
      </c>
      <c r="J381" s="45"/>
      <c r="K381" s="45"/>
      <c r="L381" s="33"/>
      <c r="M381" s="32"/>
      <c r="N381" s="47"/>
      <c r="O381" s="88"/>
      <c r="P381" s="2" t="str">
        <f t="shared" si="28"/>
        <v/>
      </c>
      <c r="Q381" s="2" t="str">
        <f t="shared" si="29"/>
        <v/>
      </c>
      <c r="R381" s="156" t="str">
        <f t="shared" si="32"/>
        <v/>
      </c>
    </row>
    <row r="382" spans="1:18" x14ac:dyDescent="0.3">
      <c r="A382">
        <f t="shared" si="30"/>
        <v>0</v>
      </c>
      <c r="B382" t="str">
        <f>H382&amp;" "&amp;COUNTIFS($H$3:H382,H382)</f>
        <v xml:space="preserve"> 0</v>
      </c>
      <c r="C382" s="34"/>
      <c r="D382" s="32"/>
      <c r="E382" s="32"/>
      <c r="F382" s="32"/>
      <c r="G382" s="32"/>
      <c r="H382" s="32"/>
      <c r="I382" s="105" t="str">
        <f t="shared" si="31"/>
        <v/>
      </c>
      <c r="J382" s="45"/>
      <c r="K382" s="45"/>
      <c r="L382" s="33"/>
      <c r="M382" s="32"/>
      <c r="N382" s="47"/>
      <c r="O382" s="88"/>
      <c r="P382" s="2" t="str">
        <f t="shared" si="28"/>
        <v/>
      </c>
      <c r="Q382" s="2" t="str">
        <f t="shared" si="29"/>
        <v/>
      </c>
      <c r="R382" s="156" t="str">
        <f t="shared" si="32"/>
        <v/>
      </c>
    </row>
    <row r="383" spans="1:18" x14ac:dyDescent="0.3">
      <c r="A383">
        <f t="shared" si="30"/>
        <v>0</v>
      </c>
      <c r="B383" t="str">
        <f>H383&amp;" "&amp;COUNTIFS($H$3:H383,H383)</f>
        <v xml:space="preserve"> 0</v>
      </c>
      <c r="C383" s="34"/>
      <c r="D383" s="32"/>
      <c r="E383" s="32"/>
      <c r="F383" s="32"/>
      <c r="G383" s="32"/>
      <c r="H383" s="32"/>
      <c r="I383" s="105" t="str">
        <f t="shared" si="31"/>
        <v/>
      </c>
      <c r="J383" s="45"/>
      <c r="K383" s="45"/>
      <c r="L383" s="33"/>
      <c r="M383" s="32"/>
      <c r="N383" s="47"/>
      <c r="O383" s="88"/>
      <c r="P383" s="2" t="str">
        <f t="shared" si="28"/>
        <v/>
      </c>
      <c r="Q383" s="2" t="str">
        <f t="shared" si="29"/>
        <v/>
      </c>
      <c r="R383" s="156" t="str">
        <f t="shared" si="32"/>
        <v/>
      </c>
    </row>
    <row r="384" spans="1:18" x14ac:dyDescent="0.3">
      <c r="A384">
        <f t="shared" si="30"/>
        <v>0</v>
      </c>
      <c r="B384" t="str">
        <f>H384&amp;" "&amp;COUNTIFS($H$3:H384,H384)</f>
        <v xml:space="preserve"> 0</v>
      </c>
      <c r="C384" s="34"/>
      <c r="D384" s="32"/>
      <c r="E384" s="32"/>
      <c r="F384" s="32"/>
      <c r="G384" s="32"/>
      <c r="H384" s="32"/>
      <c r="I384" s="105" t="str">
        <f t="shared" si="31"/>
        <v/>
      </c>
      <c r="J384" s="45"/>
      <c r="K384" s="45"/>
      <c r="L384" s="33"/>
      <c r="M384" s="32"/>
      <c r="N384" s="47"/>
      <c r="O384" s="88"/>
      <c r="P384" s="2" t="str">
        <f t="shared" si="28"/>
        <v/>
      </c>
      <c r="Q384" s="2" t="str">
        <f t="shared" si="29"/>
        <v/>
      </c>
      <c r="R384" s="156" t="str">
        <f t="shared" si="32"/>
        <v/>
      </c>
    </row>
    <row r="385" spans="1:18" x14ac:dyDescent="0.3">
      <c r="A385">
        <f t="shared" si="30"/>
        <v>0</v>
      </c>
      <c r="B385" t="str">
        <f>H385&amp;" "&amp;COUNTIFS($H$3:H385,H385)</f>
        <v xml:space="preserve"> 0</v>
      </c>
      <c r="C385" s="34"/>
      <c r="D385" s="32"/>
      <c r="E385" s="32"/>
      <c r="F385" s="32"/>
      <c r="G385" s="32"/>
      <c r="H385" s="32"/>
      <c r="I385" s="105" t="str">
        <f t="shared" si="31"/>
        <v/>
      </c>
      <c r="J385" s="45"/>
      <c r="K385" s="45"/>
      <c r="L385" s="33"/>
      <c r="M385" s="32"/>
      <c r="N385" s="47"/>
      <c r="O385" s="88"/>
      <c r="P385" s="2" t="str">
        <f t="shared" si="28"/>
        <v/>
      </c>
      <c r="Q385" s="2" t="str">
        <f t="shared" si="29"/>
        <v/>
      </c>
      <c r="R385" s="156" t="str">
        <f t="shared" si="32"/>
        <v/>
      </c>
    </row>
    <row r="386" spans="1:18" x14ac:dyDescent="0.3">
      <c r="A386">
        <f t="shared" si="30"/>
        <v>0</v>
      </c>
      <c r="B386" t="str">
        <f>H386&amp;" "&amp;COUNTIFS($H$3:H386,H386)</f>
        <v xml:space="preserve"> 0</v>
      </c>
      <c r="C386" s="34"/>
      <c r="D386" s="32"/>
      <c r="E386" s="32"/>
      <c r="F386" s="32"/>
      <c r="G386" s="32"/>
      <c r="H386" s="32"/>
      <c r="I386" s="105" t="str">
        <f t="shared" si="31"/>
        <v/>
      </c>
      <c r="J386" s="45"/>
      <c r="K386" s="45"/>
      <c r="L386" s="33"/>
      <c r="M386" s="32"/>
      <c r="N386" s="47"/>
      <c r="O386" s="88"/>
      <c r="P386" s="2" t="str">
        <f t="shared" si="28"/>
        <v/>
      </c>
      <c r="Q386" s="2" t="str">
        <f t="shared" si="29"/>
        <v/>
      </c>
      <c r="R386" s="156" t="str">
        <f t="shared" si="32"/>
        <v/>
      </c>
    </row>
    <row r="387" spans="1:18" x14ac:dyDescent="0.3">
      <c r="A387">
        <f t="shared" si="30"/>
        <v>0</v>
      </c>
      <c r="B387" t="str">
        <f>H387&amp;" "&amp;COUNTIFS($H$3:H387,H387)</f>
        <v xml:space="preserve"> 0</v>
      </c>
      <c r="C387" s="34"/>
      <c r="D387" s="32"/>
      <c r="E387" s="32"/>
      <c r="F387" s="32"/>
      <c r="G387" s="32"/>
      <c r="H387" s="32"/>
      <c r="I387" s="105" t="str">
        <f t="shared" si="31"/>
        <v/>
      </c>
      <c r="J387" s="45"/>
      <c r="K387" s="45"/>
      <c r="L387" s="33"/>
      <c r="M387" s="32"/>
      <c r="N387" s="47"/>
      <c r="O387" s="88"/>
      <c r="P387" s="2" t="str">
        <f t="shared" ref="P387:P450" si="33">IFERROR(VLOOKUP(O387,DAFTAR_TOKO,2,FALSE),"")</f>
        <v/>
      </c>
      <c r="Q387" s="2" t="str">
        <f t="shared" ref="Q387:Q450" si="34">IFERROR(VLOOKUP(O387,DAFTAR_TOKO,3,FALSE),"")</f>
        <v/>
      </c>
      <c r="R387" s="156" t="str">
        <f t="shared" si="32"/>
        <v/>
      </c>
    </row>
    <row r="388" spans="1:18" x14ac:dyDescent="0.3">
      <c r="A388">
        <f t="shared" ref="A388:A451" si="35">H388</f>
        <v>0</v>
      </c>
      <c r="B388" t="str">
        <f>H388&amp;" "&amp;COUNTIFS($H$3:H388,H388)</f>
        <v xml:space="preserve"> 0</v>
      </c>
      <c r="C388" s="34"/>
      <c r="D388" s="32"/>
      <c r="E388" s="32"/>
      <c r="F388" s="32"/>
      <c r="G388" s="32"/>
      <c r="H388" s="32"/>
      <c r="I388" s="105" t="str">
        <f t="shared" ref="I388:I451" si="36">IF(K388="","",L388/K388)</f>
        <v/>
      </c>
      <c r="J388" s="45"/>
      <c r="K388" s="45"/>
      <c r="L388" s="33"/>
      <c r="M388" s="32"/>
      <c r="N388" s="47"/>
      <c r="O388" s="88"/>
      <c r="P388" s="2" t="str">
        <f t="shared" si="33"/>
        <v/>
      </c>
      <c r="Q388" s="2" t="str">
        <f t="shared" si="34"/>
        <v/>
      </c>
      <c r="R388" s="156" t="str">
        <f t="shared" ref="R388:R451" si="37">IF(C388="","",C388)</f>
        <v/>
      </c>
    </row>
    <row r="389" spans="1:18" x14ac:dyDescent="0.3">
      <c r="A389">
        <f t="shared" si="35"/>
        <v>0</v>
      </c>
      <c r="B389" t="str">
        <f>H389&amp;" "&amp;COUNTIFS($H$3:H389,H389)</f>
        <v xml:space="preserve"> 0</v>
      </c>
      <c r="C389" s="34"/>
      <c r="D389" s="32"/>
      <c r="E389" s="32"/>
      <c r="F389" s="32"/>
      <c r="G389" s="32"/>
      <c r="H389" s="32"/>
      <c r="I389" s="105" t="str">
        <f t="shared" si="36"/>
        <v/>
      </c>
      <c r="J389" s="45"/>
      <c r="K389" s="45"/>
      <c r="L389" s="33"/>
      <c r="M389" s="32"/>
      <c r="N389" s="47"/>
      <c r="O389" s="88"/>
      <c r="P389" s="2" t="str">
        <f t="shared" si="33"/>
        <v/>
      </c>
      <c r="Q389" s="2" t="str">
        <f t="shared" si="34"/>
        <v/>
      </c>
      <c r="R389" s="156" t="str">
        <f t="shared" si="37"/>
        <v/>
      </c>
    </row>
    <row r="390" spans="1:18" x14ac:dyDescent="0.3">
      <c r="A390">
        <f t="shared" si="35"/>
        <v>0</v>
      </c>
      <c r="B390" t="str">
        <f>H390&amp;" "&amp;COUNTIFS($H$3:H390,H390)</f>
        <v xml:space="preserve"> 0</v>
      </c>
      <c r="C390" s="34"/>
      <c r="D390" s="32"/>
      <c r="E390" s="32"/>
      <c r="F390" s="32"/>
      <c r="G390" s="32"/>
      <c r="H390" s="32"/>
      <c r="I390" s="105" t="str">
        <f t="shared" si="36"/>
        <v/>
      </c>
      <c r="J390" s="45"/>
      <c r="K390" s="45"/>
      <c r="L390" s="33"/>
      <c r="M390" s="32"/>
      <c r="N390" s="47"/>
      <c r="O390" s="88"/>
      <c r="P390" s="2" t="str">
        <f t="shared" si="33"/>
        <v/>
      </c>
      <c r="Q390" s="2" t="str">
        <f t="shared" si="34"/>
        <v/>
      </c>
      <c r="R390" s="156" t="str">
        <f t="shared" si="37"/>
        <v/>
      </c>
    </row>
    <row r="391" spans="1:18" x14ac:dyDescent="0.3">
      <c r="A391">
        <f t="shared" si="35"/>
        <v>0</v>
      </c>
      <c r="B391" t="str">
        <f>H391&amp;" "&amp;COUNTIFS($H$3:H391,H391)</f>
        <v xml:space="preserve"> 0</v>
      </c>
      <c r="C391" s="34"/>
      <c r="D391" s="32"/>
      <c r="E391" s="32"/>
      <c r="F391" s="32"/>
      <c r="G391" s="32"/>
      <c r="H391" s="32"/>
      <c r="I391" s="105" t="str">
        <f t="shared" si="36"/>
        <v/>
      </c>
      <c r="J391" s="45"/>
      <c r="K391" s="45"/>
      <c r="L391" s="33"/>
      <c r="M391" s="32"/>
      <c r="N391" s="47"/>
      <c r="O391" s="88"/>
      <c r="P391" s="2" t="str">
        <f t="shared" si="33"/>
        <v/>
      </c>
      <c r="Q391" s="2" t="str">
        <f t="shared" si="34"/>
        <v/>
      </c>
      <c r="R391" s="156" t="str">
        <f t="shared" si="37"/>
        <v/>
      </c>
    </row>
    <row r="392" spans="1:18" x14ac:dyDescent="0.3">
      <c r="A392">
        <f t="shared" si="35"/>
        <v>0</v>
      </c>
      <c r="B392" t="str">
        <f>H392&amp;" "&amp;COUNTIFS($H$3:H392,H392)</f>
        <v xml:space="preserve"> 0</v>
      </c>
      <c r="C392" s="34"/>
      <c r="D392" s="32"/>
      <c r="E392" s="32"/>
      <c r="F392" s="32"/>
      <c r="G392" s="32"/>
      <c r="H392" s="32"/>
      <c r="I392" s="105" t="str">
        <f t="shared" si="36"/>
        <v/>
      </c>
      <c r="J392" s="45"/>
      <c r="K392" s="45"/>
      <c r="L392" s="33"/>
      <c r="M392" s="32"/>
      <c r="N392" s="47"/>
      <c r="O392" s="88"/>
      <c r="P392" s="2" t="str">
        <f t="shared" si="33"/>
        <v/>
      </c>
      <c r="Q392" s="2" t="str">
        <f t="shared" si="34"/>
        <v/>
      </c>
      <c r="R392" s="156" t="str">
        <f t="shared" si="37"/>
        <v/>
      </c>
    </row>
    <row r="393" spans="1:18" x14ac:dyDescent="0.3">
      <c r="A393">
        <f t="shared" si="35"/>
        <v>0</v>
      </c>
      <c r="B393" t="str">
        <f>H393&amp;" "&amp;COUNTIFS($H$3:H393,H393)</f>
        <v xml:space="preserve"> 0</v>
      </c>
      <c r="C393" s="34"/>
      <c r="D393" s="32"/>
      <c r="E393" s="32"/>
      <c r="F393" s="32"/>
      <c r="G393" s="32"/>
      <c r="H393" s="32"/>
      <c r="I393" s="105" t="str">
        <f t="shared" si="36"/>
        <v/>
      </c>
      <c r="J393" s="45"/>
      <c r="K393" s="45"/>
      <c r="L393" s="33"/>
      <c r="M393" s="32"/>
      <c r="N393" s="47"/>
      <c r="O393" s="88"/>
      <c r="P393" s="2" t="str">
        <f t="shared" si="33"/>
        <v/>
      </c>
      <c r="Q393" s="2" t="str">
        <f t="shared" si="34"/>
        <v/>
      </c>
      <c r="R393" s="156" t="str">
        <f t="shared" si="37"/>
        <v/>
      </c>
    </row>
    <row r="394" spans="1:18" x14ac:dyDescent="0.3">
      <c r="A394">
        <f t="shared" si="35"/>
        <v>0</v>
      </c>
      <c r="B394" t="str">
        <f>H394&amp;" "&amp;COUNTIFS($H$3:H394,H394)</f>
        <v xml:space="preserve"> 0</v>
      </c>
      <c r="C394" s="34"/>
      <c r="D394" s="32"/>
      <c r="E394" s="32"/>
      <c r="F394" s="32"/>
      <c r="G394" s="32"/>
      <c r="H394" s="32"/>
      <c r="I394" s="105" t="str">
        <f t="shared" si="36"/>
        <v/>
      </c>
      <c r="J394" s="45"/>
      <c r="K394" s="45"/>
      <c r="L394" s="33"/>
      <c r="M394" s="32"/>
      <c r="N394" s="47"/>
      <c r="O394" s="88"/>
      <c r="P394" s="2" t="str">
        <f t="shared" si="33"/>
        <v/>
      </c>
      <c r="Q394" s="2" t="str">
        <f t="shared" si="34"/>
        <v/>
      </c>
      <c r="R394" s="156" t="str">
        <f t="shared" si="37"/>
        <v/>
      </c>
    </row>
    <row r="395" spans="1:18" x14ac:dyDescent="0.3">
      <c r="A395">
        <f t="shared" si="35"/>
        <v>0</v>
      </c>
      <c r="B395" t="str">
        <f>H395&amp;" "&amp;COUNTIFS($H$3:H395,H395)</f>
        <v xml:space="preserve"> 0</v>
      </c>
      <c r="C395" s="34"/>
      <c r="D395" s="32"/>
      <c r="E395" s="32"/>
      <c r="F395" s="32"/>
      <c r="G395" s="32"/>
      <c r="H395" s="32"/>
      <c r="I395" s="105" t="str">
        <f t="shared" si="36"/>
        <v/>
      </c>
      <c r="J395" s="45"/>
      <c r="K395" s="45"/>
      <c r="L395" s="33"/>
      <c r="M395" s="32"/>
      <c r="N395" s="47"/>
      <c r="O395" s="88"/>
      <c r="P395" s="2" t="str">
        <f t="shared" si="33"/>
        <v/>
      </c>
      <c r="Q395" s="2" t="str">
        <f t="shared" si="34"/>
        <v/>
      </c>
      <c r="R395" s="156" t="str">
        <f t="shared" si="37"/>
        <v/>
      </c>
    </row>
    <row r="396" spans="1:18" x14ac:dyDescent="0.3">
      <c r="A396">
        <f t="shared" si="35"/>
        <v>0</v>
      </c>
      <c r="B396" t="str">
        <f>H396&amp;" "&amp;COUNTIFS($H$3:H396,H396)</f>
        <v xml:space="preserve"> 0</v>
      </c>
      <c r="C396" s="34"/>
      <c r="D396" s="32"/>
      <c r="E396" s="32"/>
      <c r="F396" s="32"/>
      <c r="G396" s="32"/>
      <c r="H396" s="32"/>
      <c r="I396" s="105" t="str">
        <f t="shared" si="36"/>
        <v/>
      </c>
      <c r="J396" s="45"/>
      <c r="K396" s="45"/>
      <c r="L396" s="33"/>
      <c r="M396" s="32"/>
      <c r="N396" s="47"/>
      <c r="O396" s="88"/>
      <c r="P396" s="2" t="str">
        <f t="shared" si="33"/>
        <v/>
      </c>
      <c r="Q396" s="2" t="str">
        <f t="shared" si="34"/>
        <v/>
      </c>
      <c r="R396" s="156" t="str">
        <f t="shared" si="37"/>
        <v/>
      </c>
    </row>
    <row r="397" spans="1:18" x14ac:dyDescent="0.3">
      <c r="A397">
        <f t="shared" si="35"/>
        <v>0</v>
      </c>
      <c r="B397" t="str">
        <f>H397&amp;" "&amp;COUNTIFS($H$3:H397,H397)</f>
        <v xml:space="preserve"> 0</v>
      </c>
      <c r="C397" s="34"/>
      <c r="D397" s="32"/>
      <c r="E397" s="32"/>
      <c r="F397" s="32"/>
      <c r="G397" s="32"/>
      <c r="H397" s="32"/>
      <c r="I397" s="105" t="str">
        <f t="shared" si="36"/>
        <v/>
      </c>
      <c r="J397" s="45"/>
      <c r="K397" s="45"/>
      <c r="L397" s="33"/>
      <c r="M397" s="32"/>
      <c r="N397" s="47"/>
      <c r="O397" s="88"/>
      <c r="P397" s="2" t="str">
        <f t="shared" si="33"/>
        <v/>
      </c>
      <c r="Q397" s="2" t="str">
        <f t="shared" si="34"/>
        <v/>
      </c>
      <c r="R397" s="156" t="str">
        <f t="shared" si="37"/>
        <v/>
      </c>
    </row>
    <row r="398" spans="1:18" x14ac:dyDescent="0.3">
      <c r="A398">
        <f t="shared" si="35"/>
        <v>0</v>
      </c>
      <c r="B398" t="str">
        <f>H398&amp;" "&amp;COUNTIFS($H$3:H398,H398)</f>
        <v xml:space="preserve"> 0</v>
      </c>
      <c r="C398" s="34"/>
      <c r="D398" s="32"/>
      <c r="E398" s="32"/>
      <c r="F398" s="32"/>
      <c r="G398" s="32"/>
      <c r="H398" s="32"/>
      <c r="I398" s="105" t="str">
        <f t="shared" si="36"/>
        <v/>
      </c>
      <c r="J398" s="45"/>
      <c r="K398" s="45"/>
      <c r="L398" s="33"/>
      <c r="M398" s="32"/>
      <c r="N398" s="47"/>
      <c r="O398" s="88"/>
      <c r="P398" s="2" t="str">
        <f t="shared" si="33"/>
        <v/>
      </c>
      <c r="Q398" s="2" t="str">
        <f t="shared" si="34"/>
        <v/>
      </c>
      <c r="R398" s="156" t="str">
        <f t="shared" si="37"/>
        <v/>
      </c>
    </row>
    <row r="399" spans="1:18" x14ac:dyDescent="0.3">
      <c r="A399">
        <f t="shared" si="35"/>
        <v>0</v>
      </c>
      <c r="B399" t="str">
        <f>H399&amp;" "&amp;COUNTIFS($H$3:H399,H399)</f>
        <v xml:space="preserve"> 0</v>
      </c>
      <c r="C399" s="34"/>
      <c r="D399" s="32"/>
      <c r="E399" s="32"/>
      <c r="F399" s="32"/>
      <c r="G399" s="32"/>
      <c r="H399" s="32"/>
      <c r="I399" s="105" t="str">
        <f t="shared" si="36"/>
        <v/>
      </c>
      <c r="J399" s="45"/>
      <c r="K399" s="45"/>
      <c r="L399" s="33"/>
      <c r="M399" s="32"/>
      <c r="N399" s="47"/>
      <c r="O399" s="88"/>
      <c r="P399" s="2" t="str">
        <f t="shared" si="33"/>
        <v/>
      </c>
      <c r="Q399" s="2" t="str">
        <f t="shared" si="34"/>
        <v/>
      </c>
      <c r="R399" s="156" t="str">
        <f t="shared" si="37"/>
        <v/>
      </c>
    </row>
    <row r="400" spans="1:18" x14ac:dyDescent="0.3">
      <c r="A400">
        <f t="shared" si="35"/>
        <v>0</v>
      </c>
      <c r="B400" t="str">
        <f>H400&amp;" "&amp;COUNTIFS($H$3:H400,H400)</f>
        <v xml:space="preserve"> 0</v>
      </c>
      <c r="C400" s="34"/>
      <c r="D400" s="32"/>
      <c r="E400" s="32"/>
      <c r="F400" s="32"/>
      <c r="G400" s="32"/>
      <c r="H400" s="32"/>
      <c r="I400" s="105" t="str">
        <f t="shared" si="36"/>
        <v/>
      </c>
      <c r="J400" s="45"/>
      <c r="K400" s="45"/>
      <c r="L400" s="33"/>
      <c r="M400" s="32"/>
      <c r="N400" s="47"/>
      <c r="O400" s="88"/>
      <c r="P400" s="2" t="str">
        <f t="shared" si="33"/>
        <v/>
      </c>
      <c r="Q400" s="2" t="str">
        <f t="shared" si="34"/>
        <v/>
      </c>
      <c r="R400" s="156" t="str">
        <f t="shared" si="37"/>
        <v/>
      </c>
    </row>
    <row r="401" spans="1:18" x14ac:dyDescent="0.3">
      <c r="A401">
        <f t="shared" si="35"/>
        <v>0</v>
      </c>
      <c r="B401" t="str">
        <f>H401&amp;" "&amp;COUNTIFS($H$3:H401,H401)</f>
        <v xml:space="preserve"> 0</v>
      </c>
      <c r="C401" s="34"/>
      <c r="D401" s="32"/>
      <c r="E401" s="32"/>
      <c r="F401" s="32"/>
      <c r="G401" s="32"/>
      <c r="H401" s="32"/>
      <c r="I401" s="105" t="str">
        <f t="shared" si="36"/>
        <v/>
      </c>
      <c r="J401" s="45"/>
      <c r="K401" s="45"/>
      <c r="L401" s="33"/>
      <c r="M401" s="32"/>
      <c r="N401" s="47"/>
      <c r="O401" s="88"/>
      <c r="P401" s="2" t="str">
        <f t="shared" si="33"/>
        <v/>
      </c>
      <c r="Q401" s="2" t="str">
        <f t="shared" si="34"/>
        <v/>
      </c>
      <c r="R401" s="156" t="str">
        <f t="shared" si="37"/>
        <v/>
      </c>
    </row>
    <row r="402" spans="1:18" x14ac:dyDescent="0.3">
      <c r="A402">
        <f t="shared" si="35"/>
        <v>0</v>
      </c>
      <c r="B402" t="str">
        <f>H402&amp;" "&amp;COUNTIFS($H$3:H402,H402)</f>
        <v xml:space="preserve"> 0</v>
      </c>
      <c r="C402" s="34"/>
      <c r="D402" s="32"/>
      <c r="E402" s="32"/>
      <c r="F402" s="32"/>
      <c r="G402" s="32"/>
      <c r="H402" s="32"/>
      <c r="I402" s="105" t="str">
        <f t="shared" si="36"/>
        <v/>
      </c>
      <c r="J402" s="45"/>
      <c r="K402" s="45"/>
      <c r="L402" s="33"/>
      <c r="M402" s="32"/>
      <c r="N402" s="47"/>
      <c r="O402" s="88"/>
      <c r="P402" s="2" t="str">
        <f t="shared" si="33"/>
        <v/>
      </c>
      <c r="Q402" s="2" t="str">
        <f t="shared" si="34"/>
        <v/>
      </c>
      <c r="R402" s="156" t="str">
        <f t="shared" si="37"/>
        <v/>
      </c>
    </row>
    <row r="403" spans="1:18" x14ac:dyDescent="0.3">
      <c r="A403">
        <f t="shared" si="35"/>
        <v>0</v>
      </c>
      <c r="B403" t="str">
        <f>H403&amp;" "&amp;COUNTIFS($H$3:H403,H403)</f>
        <v xml:space="preserve"> 0</v>
      </c>
      <c r="C403" s="34"/>
      <c r="D403" s="32"/>
      <c r="E403" s="32"/>
      <c r="F403" s="32"/>
      <c r="G403" s="32"/>
      <c r="H403" s="32"/>
      <c r="I403" s="105" t="str">
        <f t="shared" si="36"/>
        <v/>
      </c>
      <c r="J403" s="45"/>
      <c r="K403" s="45"/>
      <c r="L403" s="33"/>
      <c r="M403" s="32"/>
      <c r="N403" s="47"/>
      <c r="O403" s="88"/>
      <c r="P403" s="2" t="str">
        <f t="shared" si="33"/>
        <v/>
      </c>
      <c r="Q403" s="2" t="str">
        <f t="shared" si="34"/>
        <v/>
      </c>
      <c r="R403" s="156" t="str">
        <f t="shared" si="37"/>
        <v/>
      </c>
    </row>
    <row r="404" spans="1:18" x14ac:dyDescent="0.3">
      <c r="A404">
        <f t="shared" si="35"/>
        <v>0</v>
      </c>
      <c r="B404" t="str">
        <f>H404&amp;" "&amp;COUNTIFS($H$3:H404,H404)</f>
        <v xml:space="preserve"> 0</v>
      </c>
      <c r="C404" s="34"/>
      <c r="D404" s="32"/>
      <c r="E404" s="32"/>
      <c r="F404" s="32"/>
      <c r="G404" s="32"/>
      <c r="H404" s="32"/>
      <c r="I404" s="105" t="str">
        <f t="shared" si="36"/>
        <v/>
      </c>
      <c r="J404" s="45"/>
      <c r="K404" s="45"/>
      <c r="L404" s="33"/>
      <c r="M404" s="32"/>
      <c r="N404" s="47"/>
      <c r="O404" s="88"/>
      <c r="P404" s="2" t="str">
        <f t="shared" si="33"/>
        <v/>
      </c>
      <c r="Q404" s="2" t="str">
        <f t="shared" si="34"/>
        <v/>
      </c>
      <c r="R404" s="156" t="str">
        <f t="shared" si="37"/>
        <v/>
      </c>
    </row>
    <row r="405" spans="1:18" x14ac:dyDescent="0.3">
      <c r="A405">
        <f t="shared" si="35"/>
        <v>0</v>
      </c>
      <c r="B405" t="str">
        <f>H405&amp;" "&amp;COUNTIFS($H$3:H405,H405)</f>
        <v xml:space="preserve"> 0</v>
      </c>
      <c r="C405" s="34"/>
      <c r="D405" s="32"/>
      <c r="E405" s="32"/>
      <c r="F405" s="32"/>
      <c r="G405" s="32"/>
      <c r="H405" s="32"/>
      <c r="I405" s="105" t="str">
        <f t="shared" si="36"/>
        <v/>
      </c>
      <c r="J405" s="45"/>
      <c r="K405" s="45"/>
      <c r="L405" s="33"/>
      <c r="M405" s="32"/>
      <c r="N405" s="47"/>
      <c r="O405" s="88"/>
      <c r="P405" s="2" t="str">
        <f t="shared" si="33"/>
        <v/>
      </c>
      <c r="Q405" s="2" t="str">
        <f t="shared" si="34"/>
        <v/>
      </c>
      <c r="R405" s="156" t="str">
        <f t="shared" si="37"/>
        <v/>
      </c>
    </row>
    <row r="406" spans="1:18" x14ac:dyDescent="0.3">
      <c r="A406">
        <f t="shared" si="35"/>
        <v>0</v>
      </c>
      <c r="B406" t="str">
        <f>H406&amp;" "&amp;COUNTIFS($H$3:H406,H406)</f>
        <v xml:space="preserve"> 0</v>
      </c>
      <c r="C406" s="34"/>
      <c r="D406" s="32"/>
      <c r="E406" s="32"/>
      <c r="F406" s="32"/>
      <c r="G406" s="32"/>
      <c r="H406" s="32"/>
      <c r="I406" s="105" t="str">
        <f t="shared" si="36"/>
        <v/>
      </c>
      <c r="J406" s="45"/>
      <c r="K406" s="45"/>
      <c r="L406" s="33"/>
      <c r="M406" s="32"/>
      <c r="N406" s="47"/>
      <c r="O406" s="88"/>
      <c r="P406" s="2" t="str">
        <f t="shared" si="33"/>
        <v/>
      </c>
      <c r="Q406" s="2" t="str">
        <f t="shared" si="34"/>
        <v/>
      </c>
      <c r="R406" s="156" t="str">
        <f t="shared" si="37"/>
        <v/>
      </c>
    </row>
    <row r="407" spans="1:18" x14ac:dyDescent="0.3">
      <c r="A407">
        <f t="shared" si="35"/>
        <v>0</v>
      </c>
      <c r="B407" t="str">
        <f>H407&amp;" "&amp;COUNTIFS($H$3:H407,H407)</f>
        <v xml:space="preserve"> 0</v>
      </c>
      <c r="C407" s="34"/>
      <c r="D407" s="32"/>
      <c r="E407" s="32"/>
      <c r="F407" s="32"/>
      <c r="G407" s="32"/>
      <c r="H407" s="32"/>
      <c r="I407" s="105" t="str">
        <f t="shared" si="36"/>
        <v/>
      </c>
      <c r="J407" s="45"/>
      <c r="K407" s="45"/>
      <c r="L407" s="33"/>
      <c r="M407" s="32"/>
      <c r="N407" s="47"/>
      <c r="O407" s="88"/>
      <c r="P407" s="2" t="str">
        <f t="shared" si="33"/>
        <v/>
      </c>
      <c r="Q407" s="2" t="str">
        <f t="shared" si="34"/>
        <v/>
      </c>
      <c r="R407" s="156" t="str">
        <f t="shared" si="37"/>
        <v/>
      </c>
    </row>
    <row r="408" spans="1:18" x14ac:dyDescent="0.3">
      <c r="A408">
        <f t="shared" si="35"/>
        <v>0</v>
      </c>
      <c r="B408" t="str">
        <f>H408&amp;" "&amp;COUNTIFS($H$3:H408,H408)</f>
        <v xml:space="preserve"> 0</v>
      </c>
      <c r="C408" s="34"/>
      <c r="D408" s="32"/>
      <c r="E408" s="32"/>
      <c r="F408" s="32"/>
      <c r="G408" s="32"/>
      <c r="H408" s="32"/>
      <c r="I408" s="105" t="str">
        <f t="shared" si="36"/>
        <v/>
      </c>
      <c r="J408" s="45"/>
      <c r="K408" s="45"/>
      <c r="L408" s="33"/>
      <c r="M408" s="32"/>
      <c r="N408" s="47"/>
      <c r="O408" s="88"/>
      <c r="P408" s="2" t="str">
        <f t="shared" si="33"/>
        <v/>
      </c>
      <c r="Q408" s="2" t="str">
        <f t="shared" si="34"/>
        <v/>
      </c>
      <c r="R408" s="156" t="str">
        <f t="shared" si="37"/>
        <v/>
      </c>
    </row>
    <row r="409" spans="1:18" x14ac:dyDescent="0.3">
      <c r="A409">
        <f t="shared" si="35"/>
        <v>0</v>
      </c>
      <c r="B409" t="str">
        <f>H409&amp;" "&amp;COUNTIFS($H$3:H409,H409)</f>
        <v xml:space="preserve"> 0</v>
      </c>
      <c r="C409" s="34"/>
      <c r="D409" s="32"/>
      <c r="E409" s="32"/>
      <c r="F409" s="32"/>
      <c r="G409" s="32"/>
      <c r="H409" s="32"/>
      <c r="I409" s="105" t="str">
        <f t="shared" si="36"/>
        <v/>
      </c>
      <c r="J409" s="45"/>
      <c r="K409" s="45"/>
      <c r="L409" s="33"/>
      <c r="M409" s="32"/>
      <c r="N409" s="47"/>
      <c r="O409" s="88"/>
      <c r="P409" s="2" t="str">
        <f t="shared" si="33"/>
        <v/>
      </c>
      <c r="Q409" s="2" t="str">
        <f t="shared" si="34"/>
        <v/>
      </c>
      <c r="R409" s="156" t="str">
        <f t="shared" si="37"/>
        <v/>
      </c>
    </row>
    <row r="410" spans="1:18" x14ac:dyDescent="0.3">
      <c r="A410">
        <f t="shared" si="35"/>
        <v>0</v>
      </c>
      <c r="B410" t="str">
        <f>H410&amp;" "&amp;COUNTIFS($H$3:H410,H410)</f>
        <v xml:space="preserve"> 0</v>
      </c>
      <c r="C410" s="34"/>
      <c r="D410" s="32"/>
      <c r="E410" s="32"/>
      <c r="F410" s="32"/>
      <c r="G410" s="32"/>
      <c r="H410" s="32"/>
      <c r="I410" s="105" t="str">
        <f t="shared" si="36"/>
        <v/>
      </c>
      <c r="J410" s="45"/>
      <c r="K410" s="45"/>
      <c r="L410" s="33"/>
      <c r="M410" s="32"/>
      <c r="N410" s="47"/>
      <c r="O410" s="88"/>
      <c r="P410" s="2" t="str">
        <f t="shared" si="33"/>
        <v/>
      </c>
      <c r="Q410" s="2" t="str">
        <f t="shared" si="34"/>
        <v/>
      </c>
      <c r="R410" s="156" t="str">
        <f t="shared" si="37"/>
        <v/>
      </c>
    </row>
    <row r="411" spans="1:18" x14ac:dyDescent="0.3">
      <c r="A411">
        <f t="shared" si="35"/>
        <v>0</v>
      </c>
      <c r="B411" t="str">
        <f>H411&amp;" "&amp;COUNTIFS($H$3:H411,H411)</f>
        <v xml:space="preserve"> 0</v>
      </c>
      <c r="C411" s="34"/>
      <c r="D411" s="32"/>
      <c r="E411" s="32"/>
      <c r="F411" s="32"/>
      <c r="G411" s="32"/>
      <c r="H411" s="32"/>
      <c r="I411" s="105" t="str">
        <f t="shared" si="36"/>
        <v/>
      </c>
      <c r="J411" s="45"/>
      <c r="K411" s="45"/>
      <c r="L411" s="33"/>
      <c r="M411" s="32"/>
      <c r="N411" s="47"/>
      <c r="O411" s="88"/>
      <c r="P411" s="2" t="str">
        <f t="shared" si="33"/>
        <v/>
      </c>
      <c r="Q411" s="2" t="str">
        <f t="shared" si="34"/>
        <v/>
      </c>
      <c r="R411" s="156" t="str">
        <f t="shared" si="37"/>
        <v/>
      </c>
    </row>
    <row r="412" spans="1:18" x14ac:dyDescent="0.3">
      <c r="A412">
        <f t="shared" si="35"/>
        <v>0</v>
      </c>
      <c r="B412" t="str">
        <f>H412&amp;" "&amp;COUNTIFS($H$3:H412,H412)</f>
        <v xml:space="preserve"> 0</v>
      </c>
      <c r="C412" s="34"/>
      <c r="D412" s="32"/>
      <c r="E412" s="32"/>
      <c r="F412" s="32"/>
      <c r="G412" s="32"/>
      <c r="H412" s="32"/>
      <c r="I412" s="105" t="str">
        <f t="shared" si="36"/>
        <v/>
      </c>
      <c r="J412" s="45"/>
      <c r="K412" s="45"/>
      <c r="L412" s="33"/>
      <c r="M412" s="32"/>
      <c r="N412" s="47"/>
      <c r="O412" s="88"/>
      <c r="P412" s="2" t="str">
        <f t="shared" si="33"/>
        <v/>
      </c>
      <c r="Q412" s="2" t="str">
        <f t="shared" si="34"/>
        <v/>
      </c>
      <c r="R412" s="156" t="str">
        <f t="shared" si="37"/>
        <v/>
      </c>
    </row>
    <row r="413" spans="1:18" x14ac:dyDescent="0.3">
      <c r="A413">
        <f t="shared" si="35"/>
        <v>0</v>
      </c>
      <c r="B413" t="str">
        <f>H413&amp;" "&amp;COUNTIFS($H$3:H413,H413)</f>
        <v xml:space="preserve"> 0</v>
      </c>
      <c r="C413" s="34"/>
      <c r="D413" s="32"/>
      <c r="E413" s="32"/>
      <c r="F413" s="32"/>
      <c r="G413" s="32"/>
      <c r="H413" s="32"/>
      <c r="I413" s="105" t="str">
        <f t="shared" si="36"/>
        <v/>
      </c>
      <c r="J413" s="45"/>
      <c r="K413" s="45"/>
      <c r="L413" s="33"/>
      <c r="M413" s="32"/>
      <c r="N413" s="47"/>
      <c r="O413" s="88"/>
      <c r="P413" s="2" t="str">
        <f t="shared" si="33"/>
        <v/>
      </c>
      <c r="Q413" s="2" t="str">
        <f t="shared" si="34"/>
        <v/>
      </c>
      <c r="R413" s="156" t="str">
        <f t="shared" si="37"/>
        <v/>
      </c>
    </row>
    <row r="414" spans="1:18" x14ac:dyDescent="0.3">
      <c r="A414">
        <f t="shared" si="35"/>
        <v>0</v>
      </c>
      <c r="B414" t="str">
        <f>H414&amp;" "&amp;COUNTIFS($H$3:H414,H414)</f>
        <v xml:space="preserve"> 0</v>
      </c>
      <c r="C414" s="34"/>
      <c r="D414" s="32"/>
      <c r="E414" s="32"/>
      <c r="F414" s="32"/>
      <c r="G414" s="32"/>
      <c r="H414" s="32"/>
      <c r="I414" s="105" t="str">
        <f t="shared" si="36"/>
        <v/>
      </c>
      <c r="J414" s="45"/>
      <c r="K414" s="45"/>
      <c r="L414" s="33"/>
      <c r="M414" s="32"/>
      <c r="N414" s="47"/>
      <c r="O414" s="88"/>
      <c r="P414" s="2" t="str">
        <f t="shared" si="33"/>
        <v/>
      </c>
      <c r="Q414" s="2" t="str">
        <f t="shared" si="34"/>
        <v/>
      </c>
      <c r="R414" s="156" t="str">
        <f t="shared" si="37"/>
        <v/>
      </c>
    </row>
    <row r="415" spans="1:18" x14ac:dyDescent="0.3">
      <c r="A415">
        <f t="shared" si="35"/>
        <v>0</v>
      </c>
      <c r="B415" t="str">
        <f>H415&amp;" "&amp;COUNTIFS($H$3:H415,H415)</f>
        <v xml:space="preserve"> 0</v>
      </c>
      <c r="C415" s="34"/>
      <c r="D415" s="32"/>
      <c r="E415" s="32"/>
      <c r="F415" s="32"/>
      <c r="G415" s="32"/>
      <c r="H415" s="32"/>
      <c r="I415" s="105" t="str">
        <f t="shared" si="36"/>
        <v/>
      </c>
      <c r="J415" s="45"/>
      <c r="K415" s="45"/>
      <c r="L415" s="33"/>
      <c r="M415" s="32"/>
      <c r="N415" s="47"/>
      <c r="O415" s="88"/>
      <c r="P415" s="2" t="str">
        <f t="shared" si="33"/>
        <v/>
      </c>
      <c r="Q415" s="2" t="str">
        <f t="shared" si="34"/>
        <v/>
      </c>
      <c r="R415" s="156" t="str">
        <f t="shared" si="37"/>
        <v/>
      </c>
    </row>
    <row r="416" spans="1:18" x14ac:dyDescent="0.3">
      <c r="A416">
        <f t="shared" si="35"/>
        <v>0</v>
      </c>
      <c r="B416" t="str">
        <f>H416&amp;" "&amp;COUNTIFS($H$3:H416,H416)</f>
        <v xml:space="preserve"> 0</v>
      </c>
      <c r="C416" s="34"/>
      <c r="D416" s="32"/>
      <c r="E416" s="32"/>
      <c r="F416" s="32"/>
      <c r="G416" s="32"/>
      <c r="H416" s="32"/>
      <c r="I416" s="105" t="str">
        <f t="shared" si="36"/>
        <v/>
      </c>
      <c r="J416" s="45"/>
      <c r="K416" s="45"/>
      <c r="L416" s="33"/>
      <c r="M416" s="32"/>
      <c r="N416" s="47"/>
      <c r="O416" s="88"/>
      <c r="P416" s="2" t="str">
        <f t="shared" si="33"/>
        <v/>
      </c>
      <c r="Q416" s="2" t="str">
        <f t="shared" si="34"/>
        <v/>
      </c>
      <c r="R416" s="156" t="str">
        <f t="shared" si="37"/>
        <v/>
      </c>
    </row>
    <row r="417" spans="1:18" x14ac:dyDescent="0.3">
      <c r="A417">
        <f t="shared" si="35"/>
        <v>0</v>
      </c>
      <c r="B417" t="str">
        <f>H417&amp;" "&amp;COUNTIFS($H$3:H417,H417)</f>
        <v xml:space="preserve"> 0</v>
      </c>
      <c r="C417" s="34"/>
      <c r="D417" s="32"/>
      <c r="E417" s="32"/>
      <c r="F417" s="32"/>
      <c r="G417" s="32"/>
      <c r="H417" s="32"/>
      <c r="I417" s="105" t="str">
        <f t="shared" si="36"/>
        <v/>
      </c>
      <c r="J417" s="45"/>
      <c r="K417" s="45"/>
      <c r="L417" s="33"/>
      <c r="M417" s="32"/>
      <c r="N417" s="47"/>
      <c r="O417" s="88"/>
      <c r="P417" s="2" t="str">
        <f t="shared" si="33"/>
        <v/>
      </c>
      <c r="Q417" s="2" t="str">
        <f t="shared" si="34"/>
        <v/>
      </c>
      <c r="R417" s="156" t="str">
        <f t="shared" si="37"/>
        <v/>
      </c>
    </row>
    <row r="418" spans="1:18" x14ac:dyDescent="0.3">
      <c r="A418">
        <f t="shared" si="35"/>
        <v>0</v>
      </c>
      <c r="B418" t="str">
        <f>H418&amp;" "&amp;COUNTIFS($H$3:H418,H418)</f>
        <v xml:space="preserve"> 0</v>
      </c>
      <c r="C418" s="34"/>
      <c r="D418" s="32"/>
      <c r="E418" s="32"/>
      <c r="F418" s="32"/>
      <c r="G418" s="32"/>
      <c r="H418" s="32"/>
      <c r="I418" s="105" t="str">
        <f t="shared" si="36"/>
        <v/>
      </c>
      <c r="J418" s="45"/>
      <c r="K418" s="45"/>
      <c r="L418" s="33"/>
      <c r="M418" s="32"/>
      <c r="N418" s="47"/>
      <c r="O418" s="88"/>
      <c r="P418" s="2" t="str">
        <f t="shared" si="33"/>
        <v/>
      </c>
      <c r="Q418" s="2" t="str">
        <f t="shared" si="34"/>
        <v/>
      </c>
      <c r="R418" s="156" t="str">
        <f t="shared" si="37"/>
        <v/>
      </c>
    </row>
    <row r="419" spans="1:18" x14ac:dyDescent="0.3">
      <c r="A419">
        <f t="shared" si="35"/>
        <v>0</v>
      </c>
      <c r="B419" t="str">
        <f>H419&amp;" "&amp;COUNTIFS($H$3:H419,H419)</f>
        <v xml:space="preserve"> 0</v>
      </c>
      <c r="C419" s="34"/>
      <c r="D419" s="32"/>
      <c r="E419" s="32"/>
      <c r="F419" s="32"/>
      <c r="G419" s="32"/>
      <c r="H419" s="32"/>
      <c r="I419" s="105" t="str">
        <f t="shared" si="36"/>
        <v/>
      </c>
      <c r="J419" s="45"/>
      <c r="K419" s="45"/>
      <c r="L419" s="33"/>
      <c r="M419" s="32"/>
      <c r="N419" s="47"/>
      <c r="O419" s="88"/>
      <c r="P419" s="2" t="str">
        <f t="shared" si="33"/>
        <v/>
      </c>
      <c r="Q419" s="2" t="str">
        <f t="shared" si="34"/>
        <v/>
      </c>
      <c r="R419" s="156" t="str">
        <f t="shared" si="37"/>
        <v/>
      </c>
    </row>
    <row r="420" spans="1:18" x14ac:dyDescent="0.3">
      <c r="A420">
        <f t="shared" si="35"/>
        <v>0</v>
      </c>
      <c r="B420" t="str">
        <f>H420&amp;" "&amp;COUNTIFS($H$3:H420,H420)</f>
        <v xml:space="preserve"> 0</v>
      </c>
      <c r="C420" s="34"/>
      <c r="D420" s="32"/>
      <c r="E420" s="32"/>
      <c r="F420" s="32"/>
      <c r="G420" s="32"/>
      <c r="H420" s="32"/>
      <c r="I420" s="105" t="str">
        <f t="shared" si="36"/>
        <v/>
      </c>
      <c r="J420" s="45"/>
      <c r="K420" s="45"/>
      <c r="L420" s="33"/>
      <c r="M420" s="32"/>
      <c r="N420" s="47"/>
      <c r="O420" s="88"/>
      <c r="P420" s="2" t="str">
        <f t="shared" si="33"/>
        <v/>
      </c>
      <c r="Q420" s="2" t="str">
        <f t="shared" si="34"/>
        <v/>
      </c>
      <c r="R420" s="156" t="str">
        <f t="shared" si="37"/>
        <v/>
      </c>
    </row>
    <row r="421" spans="1:18" x14ac:dyDescent="0.3">
      <c r="A421">
        <f t="shared" si="35"/>
        <v>0</v>
      </c>
      <c r="B421" t="str">
        <f>H421&amp;" "&amp;COUNTIFS($H$3:H421,H421)</f>
        <v xml:space="preserve"> 0</v>
      </c>
      <c r="C421" s="34"/>
      <c r="D421" s="32"/>
      <c r="E421" s="32"/>
      <c r="F421" s="32"/>
      <c r="G421" s="32"/>
      <c r="H421" s="32"/>
      <c r="I421" s="105" t="str">
        <f t="shared" si="36"/>
        <v/>
      </c>
      <c r="J421" s="45"/>
      <c r="K421" s="45"/>
      <c r="L421" s="33"/>
      <c r="M421" s="32"/>
      <c r="N421" s="47"/>
      <c r="O421" s="88"/>
      <c r="P421" s="2" t="str">
        <f t="shared" si="33"/>
        <v/>
      </c>
      <c r="Q421" s="2" t="str">
        <f t="shared" si="34"/>
        <v/>
      </c>
      <c r="R421" s="156" t="str">
        <f t="shared" si="37"/>
        <v/>
      </c>
    </row>
    <row r="422" spans="1:18" x14ac:dyDescent="0.3">
      <c r="A422">
        <f t="shared" si="35"/>
        <v>0</v>
      </c>
      <c r="B422" t="str">
        <f>H422&amp;" "&amp;COUNTIFS($H$3:H422,H422)</f>
        <v xml:space="preserve"> 0</v>
      </c>
      <c r="C422" s="34"/>
      <c r="D422" s="32"/>
      <c r="E422" s="32"/>
      <c r="F422" s="32"/>
      <c r="G422" s="32"/>
      <c r="H422" s="32"/>
      <c r="I422" s="105" t="str">
        <f t="shared" si="36"/>
        <v/>
      </c>
      <c r="J422" s="45"/>
      <c r="K422" s="45"/>
      <c r="L422" s="33"/>
      <c r="M422" s="32"/>
      <c r="N422" s="47"/>
      <c r="O422" s="88"/>
      <c r="P422" s="2" t="str">
        <f t="shared" si="33"/>
        <v/>
      </c>
      <c r="Q422" s="2" t="str">
        <f t="shared" si="34"/>
        <v/>
      </c>
      <c r="R422" s="156" t="str">
        <f t="shared" si="37"/>
        <v/>
      </c>
    </row>
    <row r="423" spans="1:18" x14ac:dyDescent="0.3">
      <c r="A423">
        <f t="shared" si="35"/>
        <v>0</v>
      </c>
      <c r="B423" t="str">
        <f>H423&amp;" "&amp;COUNTIFS($H$3:H423,H423)</f>
        <v xml:space="preserve"> 0</v>
      </c>
      <c r="C423" s="34"/>
      <c r="D423" s="32"/>
      <c r="E423" s="32"/>
      <c r="F423" s="32"/>
      <c r="G423" s="32"/>
      <c r="H423" s="32"/>
      <c r="I423" s="105" t="str">
        <f t="shared" si="36"/>
        <v/>
      </c>
      <c r="J423" s="45"/>
      <c r="K423" s="45"/>
      <c r="L423" s="33"/>
      <c r="M423" s="32"/>
      <c r="N423" s="47"/>
      <c r="O423" s="88"/>
      <c r="P423" s="2" t="str">
        <f t="shared" si="33"/>
        <v/>
      </c>
      <c r="Q423" s="2" t="str">
        <f t="shared" si="34"/>
        <v/>
      </c>
      <c r="R423" s="156" t="str">
        <f t="shared" si="37"/>
        <v/>
      </c>
    </row>
    <row r="424" spans="1:18" x14ac:dyDescent="0.3">
      <c r="A424">
        <f t="shared" si="35"/>
        <v>0</v>
      </c>
      <c r="B424" t="str">
        <f>H424&amp;" "&amp;COUNTIFS($H$3:H424,H424)</f>
        <v xml:space="preserve"> 0</v>
      </c>
      <c r="C424" s="34"/>
      <c r="D424" s="32"/>
      <c r="E424" s="32"/>
      <c r="F424" s="32"/>
      <c r="G424" s="32"/>
      <c r="H424" s="32"/>
      <c r="I424" s="105" t="str">
        <f t="shared" si="36"/>
        <v/>
      </c>
      <c r="J424" s="45"/>
      <c r="K424" s="45"/>
      <c r="L424" s="33"/>
      <c r="M424" s="32"/>
      <c r="N424" s="47"/>
      <c r="O424" s="88"/>
      <c r="P424" s="2" t="str">
        <f t="shared" si="33"/>
        <v/>
      </c>
      <c r="Q424" s="2" t="str">
        <f t="shared" si="34"/>
        <v/>
      </c>
      <c r="R424" s="156" t="str">
        <f t="shared" si="37"/>
        <v/>
      </c>
    </row>
    <row r="425" spans="1:18" x14ac:dyDescent="0.3">
      <c r="A425">
        <f t="shared" si="35"/>
        <v>0</v>
      </c>
      <c r="B425" t="str">
        <f>H425&amp;" "&amp;COUNTIFS($H$3:H425,H425)</f>
        <v xml:space="preserve"> 0</v>
      </c>
      <c r="C425" s="34"/>
      <c r="D425" s="32"/>
      <c r="E425" s="32"/>
      <c r="F425" s="32"/>
      <c r="G425" s="32"/>
      <c r="H425" s="32"/>
      <c r="I425" s="105" t="str">
        <f t="shared" si="36"/>
        <v/>
      </c>
      <c r="J425" s="45"/>
      <c r="K425" s="45"/>
      <c r="L425" s="33"/>
      <c r="M425" s="32"/>
      <c r="N425" s="47"/>
      <c r="O425" s="88"/>
      <c r="P425" s="2" t="str">
        <f t="shared" si="33"/>
        <v/>
      </c>
      <c r="Q425" s="2" t="str">
        <f t="shared" si="34"/>
        <v/>
      </c>
      <c r="R425" s="156" t="str">
        <f t="shared" si="37"/>
        <v/>
      </c>
    </row>
    <row r="426" spans="1:18" x14ac:dyDescent="0.3">
      <c r="A426">
        <f t="shared" si="35"/>
        <v>0</v>
      </c>
      <c r="B426" t="str">
        <f>H426&amp;" "&amp;COUNTIFS($H$3:H426,H426)</f>
        <v xml:space="preserve"> 0</v>
      </c>
      <c r="C426" s="34"/>
      <c r="D426" s="32"/>
      <c r="E426" s="32"/>
      <c r="F426" s="32"/>
      <c r="G426" s="32"/>
      <c r="H426" s="32"/>
      <c r="I426" s="105" t="str">
        <f t="shared" si="36"/>
        <v/>
      </c>
      <c r="J426" s="45"/>
      <c r="K426" s="45"/>
      <c r="L426" s="33"/>
      <c r="M426" s="32"/>
      <c r="N426" s="47"/>
      <c r="O426" s="88"/>
      <c r="P426" s="2" t="str">
        <f t="shared" si="33"/>
        <v/>
      </c>
      <c r="Q426" s="2" t="str">
        <f t="shared" si="34"/>
        <v/>
      </c>
      <c r="R426" s="156" t="str">
        <f t="shared" si="37"/>
        <v/>
      </c>
    </row>
    <row r="427" spans="1:18" x14ac:dyDescent="0.3">
      <c r="A427">
        <f t="shared" si="35"/>
        <v>0</v>
      </c>
      <c r="B427" t="str">
        <f>H427&amp;" "&amp;COUNTIFS($H$3:H427,H427)</f>
        <v xml:space="preserve"> 0</v>
      </c>
      <c r="C427" s="34"/>
      <c r="D427" s="32"/>
      <c r="E427" s="32"/>
      <c r="F427" s="32"/>
      <c r="G427" s="32"/>
      <c r="H427" s="32"/>
      <c r="I427" s="105" t="str">
        <f t="shared" si="36"/>
        <v/>
      </c>
      <c r="J427" s="45"/>
      <c r="K427" s="45"/>
      <c r="L427" s="33"/>
      <c r="M427" s="32"/>
      <c r="N427" s="47"/>
      <c r="O427" s="88"/>
      <c r="P427" s="2" t="str">
        <f t="shared" si="33"/>
        <v/>
      </c>
      <c r="Q427" s="2" t="str">
        <f t="shared" si="34"/>
        <v/>
      </c>
      <c r="R427" s="156" t="str">
        <f t="shared" si="37"/>
        <v/>
      </c>
    </row>
    <row r="428" spans="1:18" x14ac:dyDescent="0.3">
      <c r="A428">
        <f t="shared" si="35"/>
        <v>0</v>
      </c>
      <c r="B428" t="str">
        <f>H428&amp;" "&amp;COUNTIFS($H$3:H428,H428)</f>
        <v xml:space="preserve"> 0</v>
      </c>
      <c r="C428" s="34"/>
      <c r="D428" s="32"/>
      <c r="E428" s="32"/>
      <c r="F428" s="32"/>
      <c r="G428" s="32"/>
      <c r="H428" s="32"/>
      <c r="I428" s="105" t="str">
        <f t="shared" si="36"/>
        <v/>
      </c>
      <c r="J428" s="45"/>
      <c r="K428" s="45"/>
      <c r="L428" s="33"/>
      <c r="M428" s="32"/>
      <c r="N428" s="47"/>
      <c r="O428" s="88"/>
      <c r="P428" s="2" t="str">
        <f t="shared" si="33"/>
        <v/>
      </c>
      <c r="Q428" s="2" t="str">
        <f t="shared" si="34"/>
        <v/>
      </c>
      <c r="R428" s="156" t="str">
        <f t="shared" si="37"/>
        <v/>
      </c>
    </row>
    <row r="429" spans="1:18" x14ac:dyDescent="0.3">
      <c r="A429">
        <f t="shared" si="35"/>
        <v>0</v>
      </c>
      <c r="B429" t="str">
        <f>H429&amp;" "&amp;COUNTIFS($H$3:H429,H429)</f>
        <v xml:space="preserve"> 0</v>
      </c>
      <c r="C429" s="34"/>
      <c r="D429" s="32"/>
      <c r="E429" s="32"/>
      <c r="F429" s="32"/>
      <c r="G429" s="32"/>
      <c r="H429" s="32"/>
      <c r="I429" s="105" t="str">
        <f t="shared" si="36"/>
        <v/>
      </c>
      <c r="J429" s="45"/>
      <c r="K429" s="45"/>
      <c r="L429" s="33"/>
      <c r="M429" s="32"/>
      <c r="N429" s="47"/>
      <c r="O429" s="88"/>
      <c r="P429" s="2" t="str">
        <f t="shared" si="33"/>
        <v/>
      </c>
      <c r="Q429" s="2" t="str">
        <f t="shared" si="34"/>
        <v/>
      </c>
      <c r="R429" s="156" t="str">
        <f t="shared" si="37"/>
        <v/>
      </c>
    </row>
    <row r="430" spans="1:18" x14ac:dyDescent="0.3">
      <c r="A430">
        <f t="shared" si="35"/>
        <v>0</v>
      </c>
      <c r="B430" t="str">
        <f>H430&amp;" "&amp;COUNTIFS($H$3:H430,H430)</f>
        <v xml:space="preserve"> 0</v>
      </c>
      <c r="C430" s="34"/>
      <c r="D430" s="32"/>
      <c r="E430" s="32"/>
      <c r="F430" s="32"/>
      <c r="G430" s="32"/>
      <c r="H430" s="32"/>
      <c r="I430" s="105" t="str">
        <f t="shared" si="36"/>
        <v/>
      </c>
      <c r="J430" s="45"/>
      <c r="K430" s="45"/>
      <c r="L430" s="33"/>
      <c r="M430" s="32"/>
      <c r="N430" s="47"/>
      <c r="O430" s="88"/>
      <c r="P430" s="2" t="str">
        <f t="shared" si="33"/>
        <v/>
      </c>
      <c r="Q430" s="2" t="str">
        <f t="shared" si="34"/>
        <v/>
      </c>
      <c r="R430" s="156" t="str">
        <f t="shared" si="37"/>
        <v/>
      </c>
    </row>
    <row r="431" spans="1:18" x14ac:dyDescent="0.3">
      <c r="A431">
        <f t="shared" si="35"/>
        <v>0</v>
      </c>
      <c r="B431" t="str">
        <f>H431&amp;" "&amp;COUNTIFS($H$3:H431,H431)</f>
        <v xml:space="preserve"> 0</v>
      </c>
      <c r="C431" s="34"/>
      <c r="D431" s="32"/>
      <c r="E431" s="32"/>
      <c r="F431" s="32"/>
      <c r="G431" s="32"/>
      <c r="H431" s="32"/>
      <c r="I431" s="105" t="str">
        <f t="shared" si="36"/>
        <v/>
      </c>
      <c r="J431" s="45"/>
      <c r="K431" s="45"/>
      <c r="L431" s="33"/>
      <c r="M431" s="32"/>
      <c r="N431" s="47"/>
      <c r="O431" s="88"/>
      <c r="P431" s="2" t="str">
        <f t="shared" si="33"/>
        <v/>
      </c>
      <c r="Q431" s="2" t="str">
        <f t="shared" si="34"/>
        <v/>
      </c>
      <c r="R431" s="156" t="str">
        <f t="shared" si="37"/>
        <v/>
      </c>
    </row>
    <row r="432" spans="1:18" x14ac:dyDescent="0.3">
      <c r="A432">
        <f t="shared" si="35"/>
        <v>0</v>
      </c>
      <c r="B432" t="str">
        <f>H432&amp;" "&amp;COUNTIFS($H$3:H432,H432)</f>
        <v xml:space="preserve"> 0</v>
      </c>
      <c r="C432" s="34"/>
      <c r="D432" s="32"/>
      <c r="E432" s="32"/>
      <c r="F432" s="32"/>
      <c r="G432" s="32"/>
      <c r="H432" s="32"/>
      <c r="I432" s="105" t="str">
        <f t="shared" si="36"/>
        <v/>
      </c>
      <c r="J432" s="45"/>
      <c r="K432" s="45"/>
      <c r="L432" s="33"/>
      <c r="M432" s="32"/>
      <c r="N432" s="47"/>
      <c r="O432" s="88"/>
      <c r="P432" s="2" t="str">
        <f t="shared" si="33"/>
        <v/>
      </c>
      <c r="Q432" s="2" t="str">
        <f t="shared" si="34"/>
        <v/>
      </c>
      <c r="R432" s="156" t="str">
        <f t="shared" si="37"/>
        <v/>
      </c>
    </row>
    <row r="433" spans="1:18" x14ac:dyDescent="0.3">
      <c r="A433">
        <f t="shared" si="35"/>
        <v>0</v>
      </c>
      <c r="B433" t="str">
        <f>H433&amp;" "&amp;COUNTIFS($H$3:H433,H433)</f>
        <v xml:space="preserve"> 0</v>
      </c>
      <c r="C433" s="34"/>
      <c r="D433" s="32"/>
      <c r="E433" s="32"/>
      <c r="F433" s="32"/>
      <c r="G433" s="32"/>
      <c r="H433" s="32"/>
      <c r="I433" s="105" t="str">
        <f t="shared" si="36"/>
        <v/>
      </c>
      <c r="J433" s="45"/>
      <c r="K433" s="45"/>
      <c r="L433" s="33"/>
      <c r="M433" s="32"/>
      <c r="N433" s="47"/>
      <c r="O433" s="88"/>
      <c r="P433" s="2" t="str">
        <f t="shared" si="33"/>
        <v/>
      </c>
      <c r="Q433" s="2" t="str">
        <f t="shared" si="34"/>
        <v/>
      </c>
      <c r="R433" s="156" t="str">
        <f t="shared" si="37"/>
        <v/>
      </c>
    </row>
    <row r="434" spans="1:18" x14ac:dyDescent="0.3">
      <c r="A434">
        <f t="shared" si="35"/>
        <v>0</v>
      </c>
      <c r="B434" t="str">
        <f>H434&amp;" "&amp;COUNTIFS($H$3:H434,H434)</f>
        <v xml:space="preserve"> 0</v>
      </c>
      <c r="C434" s="34"/>
      <c r="D434" s="32"/>
      <c r="E434" s="32"/>
      <c r="F434" s="32"/>
      <c r="G434" s="32"/>
      <c r="H434" s="32"/>
      <c r="I434" s="105" t="str">
        <f t="shared" si="36"/>
        <v/>
      </c>
      <c r="J434" s="45"/>
      <c r="K434" s="45"/>
      <c r="L434" s="33"/>
      <c r="M434" s="32"/>
      <c r="N434" s="47"/>
      <c r="O434" s="88"/>
      <c r="P434" s="2" t="str">
        <f t="shared" si="33"/>
        <v/>
      </c>
      <c r="Q434" s="2" t="str">
        <f t="shared" si="34"/>
        <v/>
      </c>
      <c r="R434" s="156" t="str">
        <f t="shared" si="37"/>
        <v/>
      </c>
    </row>
    <row r="435" spans="1:18" x14ac:dyDescent="0.3">
      <c r="A435">
        <f t="shared" si="35"/>
        <v>0</v>
      </c>
      <c r="B435" t="str">
        <f>H435&amp;" "&amp;COUNTIFS($H$3:H435,H435)</f>
        <v xml:space="preserve"> 0</v>
      </c>
      <c r="C435" s="34"/>
      <c r="D435" s="32"/>
      <c r="E435" s="32"/>
      <c r="F435" s="32"/>
      <c r="G435" s="32"/>
      <c r="H435" s="32"/>
      <c r="I435" s="105" t="str">
        <f t="shared" si="36"/>
        <v/>
      </c>
      <c r="J435" s="45"/>
      <c r="K435" s="45"/>
      <c r="L435" s="33"/>
      <c r="M435" s="32"/>
      <c r="N435" s="47"/>
      <c r="O435" s="88"/>
      <c r="P435" s="2" t="str">
        <f t="shared" si="33"/>
        <v/>
      </c>
      <c r="Q435" s="2" t="str">
        <f t="shared" si="34"/>
        <v/>
      </c>
      <c r="R435" s="156" t="str">
        <f t="shared" si="37"/>
        <v/>
      </c>
    </row>
    <row r="436" spans="1:18" x14ac:dyDescent="0.3">
      <c r="A436">
        <f t="shared" si="35"/>
        <v>0</v>
      </c>
      <c r="B436" t="str">
        <f>H436&amp;" "&amp;COUNTIFS($H$3:H436,H436)</f>
        <v xml:space="preserve"> 0</v>
      </c>
      <c r="C436" s="34"/>
      <c r="D436" s="32"/>
      <c r="E436" s="32"/>
      <c r="F436" s="32"/>
      <c r="G436" s="32"/>
      <c r="H436" s="32"/>
      <c r="I436" s="105" t="str">
        <f t="shared" si="36"/>
        <v/>
      </c>
      <c r="J436" s="45"/>
      <c r="K436" s="45"/>
      <c r="L436" s="33"/>
      <c r="M436" s="32"/>
      <c r="N436" s="47"/>
      <c r="O436" s="88"/>
      <c r="P436" s="2" t="str">
        <f t="shared" si="33"/>
        <v/>
      </c>
      <c r="Q436" s="2" t="str">
        <f t="shared" si="34"/>
        <v/>
      </c>
      <c r="R436" s="156" t="str">
        <f t="shared" si="37"/>
        <v/>
      </c>
    </row>
    <row r="437" spans="1:18" x14ac:dyDescent="0.3">
      <c r="A437">
        <f t="shared" si="35"/>
        <v>0</v>
      </c>
      <c r="B437" t="str">
        <f>H437&amp;" "&amp;COUNTIFS($H$3:H437,H437)</f>
        <v xml:space="preserve"> 0</v>
      </c>
      <c r="C437" s="34"/>
      <c r="D437" s="32"/>
      <c r="E437" s="32"/>
      <c r="F437" s="32"/>
      <c r="G437" s="32"/>
      <c r="H437" s="32"/>
      <c r="I437" s="105" t="str">
        <f t="shared" si="36"/>
        <v/>
      </c>
      <c r="J437" s="45"/>
      <c r="K437" s="45"/>
      <c r="L437" s="33"/>
      <c r="M437" s="32"/>
      <c r="N437" s="47"/>
      <c r="O437" s="88"/>
      <c r="P437" s="2" t="str">
        <f t="shared" si="33"/>
        <v/>
      </c>
      <c r="Q437" s="2" t="str">
        <f t="shared" si="34"/>
        <v/>
      </c>
      <c r="R437" s="156" t="str">
        <f t="shared" si="37"/>
        <v/>
      </c>
    </row>
    <row r="438" spans="1:18" x14ac:dyDescent="0.3">
      <c r="A438">
        <f t="shared" si="35"/>
        <v>0</v>
      </c>
      <c r="B438" t="str">
        <f>H438&amp;" "&amp;COUNTIFS($H$3:H438,H438)</f>
        <v xml:space="preserve"> 0</v>
      </c>
      <c r="C438" s="34"/>
      <c r="D438" s="32"/>
      <c r="E438" s="32"/>
      <c r="F438" s="32"/>
      <c r="G438" s="32"/>
      <c r="H438" s="32"/>
      <c r="I438" s="105" t="str">
        <f t="shared" si="36"/>
        <v/>
      </c>
      <c r="J438" s="45"/>
      <c r="K438" s="45"/>
      <c r="L438" s="33"/>
      <c r="M438" s="32"/>
      <c r="N438" s="47"/>
      <c r="O438" s="88"/>
      <c r="P438" s="2" t="str">
        <f t="shared" si="33"/>
        <v/>
      </c>
      <c r="Q438" s="2" t="str">
        <f t="shared" si="34"/>
        <v/>
      </c>
      <c r="R438" s="156" t="str">
        <f t="shared" si="37"/>
        <v/>
      </c>
    </row>
    <row r="439" spans="1:18" x14ac:dyDescent="0.3">
      <c r="A439">
        <f t="shared" si="35"/>
        <v>0</v>
      </c>
      <c r="B439" t="str">
        <f>H439&amp;" "&amp;COUNTIFS($H$3:H439,H439)</f>
        <v xml:space="preserve"> 0</v>
      </c>
      <c r="C439" s="34"/>
      <c r="D439" s="32"/>
      <c r="E439" s="32"/>
      <c r="F439" s="32"/>
      <c r="G439" s="32"/>
      <c r="H439" s="32"/>
      <c r="I439" s="105" t="str">
        <f t="shared" si="36"/>
        <v/>
      </c>
      <c r="J439" s="45"/>
      <c r="K439" s="45"/>
      <c r="L439" s="33"/>
      <c r="M439" s="32"/>
      <c r="N439" s="47"/>
      <c r="O439" s="88"/>
      <c r="P439" s="2" t="str">
        <f t="shared" si="33"/>
        <v/>
      </c>
      <c r="Q439" s="2" t="str">
        <f t="shared" si="34"/>
        <v/>
      </c>
      <c r="R439" s="156" t="str">
        <f t="shared" si="37"/>
        <v/>
      </c>
    </row>
    <row r="440" spans="1:18" x14ac:dyDescent="0.3">
      <c r="A440">
        <f t="shared" si="35"/>
        <v>0</v>
      </c>
      <c r="B440" t="str">
        <f>H440&amp;" "&amp;COUNTIFS($H$3:H440,H440)</f>
        <v xml:space="preserve"> 0</v>
      </c>
      <c r="C440" s="34"/>
      <c r="D440" s="32"/>
      <c r="E440" s="32"/>
      <c r="F440" s="32"/>
      <c r="G440" s="32"/>
      <c r="H440" s="32"/>
      <c r="I440" s="105" t="str">
        <f t="shared" si="36"/>
        <v/>
      </c>
      <c r="J440" s="45"/>
      <c r="K440" s="45"/>
      <c r="L440" s="33"/>
      <c r="M440" s="32"/>
      <c r="N440" s="47"/>
      <c r="O440" s="88"/>
      <c r="P440" s="2" t="str">
        <f t="shared" si="33"/>
        <v/>
      </c>
      <c r="Q440" s="2" t="str">
        <f t="shared" si="34"/>
        <v/>
      </c>
      <c r="R440" s="156" t="str">
        <f t="shared" si="37"/>
        <v/>
      </c>
    </row>
    <row r="441" spans="1:18" x14ac:dyDescent="0.3">
      <c r="A441">
        <f t="shared" si="35"/>
        <v>0</v>
      </c>
      <c r="B441" t="str">
        <f>H441&amp;" "&amp;COUNTIFS($H$3:H441,H441)</f>
        <v xml:space="preserve"> 0</v>
      </c>
      <c r="C441" s="34"/>
      <c r="D441" s="32"/>
      <c r="E441" s="32"/>
      <c r="F441" s="32"/>
      <c r="G441" s="32"/>
      <c r="H441" s="32"/>
      <c r="I441" s="105" t="str">
        <f t="shared" si="36"/>
        <v/>
      </c>
      <c r="J441" s="45"/>
      <c r="K441" s="45"/>
      <c r="L441" s="33"/>
      <c r="M441" s="32"/>
      <c r="N441" s="47"/>
      <c r="O441" s="88"/>
      <c r="P441" s="2" t="str">
        <f t="shared" si="33"/>
        <v/>
      </c>
      <c r="Q441" s="2" t="str">
        <f t="shared" si="34"/>
        <v/>
      </c>
      <c r="R441" s="156" t="str">
        <f t="shared" si="37"/>
        <v/>
      </c>
    </row>
    <row r="442" spans="1:18" x14ac:dyDescent="0.3">
      <c r="A442">
        <f t="shared" si="35"/>
        <v>0</v>
      </c>
      <c r="B442" t="str">
        <f>H442&amp;" "&amp;COUNTIFS($H$3:H442,H442)</f>
        <v xml:space="preserve"> 0</v>
      </c>
      <c r="C442" s="34"/>
      <c r="D442" s="32"/>
      <c r="E442" s="32"/>
      <c r="F442" s="32"/>
      <c r="G442" s="32"/>
      <c r="H442" s="32"/>
      <c r="I442" s="105" t="str">
        <f t="shared" si="36"/>
        <v/>
      </c>
      <c r="J442" s="45"/>
      <c r="K442" s="45"/>
      <c r="L442" s="33"/>
      <c r="M442" s="32"/>
      <c r="N442" s="47"/>
      <c r="O442" s="88"/>
      <c r="P442" s="2" t="str">
        <f t="shared" si="33"/>
        <v/>
      </c>
      <c r="Q442" s="2" t="str">
        <f t="shared" si="34"/>
        <v/>
      </c>
      <c r="R442" s="156" t="str">
        <f t="shared" si="37"/>
        <v/>
      </c>
    </row>
    <row r="443" spans="1:18" x14ac:dyDescent="0.3">
      <c r="A443">
        <f t="shared" si="35"/>
        <v>0</v>
      </c>
      <c r="B443" t="str">
        <f>H443&amp;" "&amp;COUNTIFS($H$3:H443,H443)</f>
        <v xml:space="preserve"> 0</v>
      </c>
      <c r="C443" s="34"/>
      <c r="D443" s="32"/>
      <c r="E443" s="32"/>
      <c r="F443" s="32"/>
      <c r="G443" s="32"/>
      <c r="H443" s="32"/>
      <c r="I443" s="105" t="str">
        <f t="shared" si="36"/>
        <v/>
      </c>
      <c r="J443" s="45"/>
      <c r="K443" s="45"/>
      <c r="L443" s="33"/>
      <c r="M443" s="32"/>
      <c r="N443" s="47"/>
      <c r="O443" s="88"/>
      <c r="P443" s="2" t="str">
        <f t="shared" si="33"/>
        <v/>
      </c>
      <c r="Q443" s="2" t="str">
        <f t="shared" si="34"/>
        <v/>
      </c>
      <c r="R443" s="156" t="str">
        <f t="shared" si="37"/>
        <v/>
      </c>
    </row>
    <row r="444" spans="1:18" x14ac:dyDescent="0.3">
      <c r="A444">
        <f t="shared" si="35"/>
        <v>0</v>
      </c>
      <c r="B444" t="str">
        <f>H444&amp;" "&amp;COUNTIFS($H$3:H444,H444)</f>
        <v xml:space="preserve"> 0</v>
      </c>
      <c r="C444" s="34"/>
      <c r="D444" s="32"/>
      <c r="E444" s="32"/>
      <c r="F444" s="32"/>
      <c r="G444" s="32"/>
      <c r="H444" s="32"/>
      <c r="I444" s="105" t="str">
        <f t="shared" si="36"/>
        <v/>
      </c>
      <c r="J444" s="45"/>
      <c r="K444" s="45"/>
      <c r="L444" s="33"/>
      <c r="M444" s="32"/>
      <c r="N444" s="47"/>
      <c r="O444" s="88"/>
      <c r="P444" s="2" t="str">
        <f t="shared" si="33"/>
        <v/>
      </c>
      <c r="Q444" s="2" t="str">
        <f t="shared" si="34"/>
        <v/>
      </c>
      <c r="R444" s="156" t="str">
        <f t="shared" si="37"/>
        <v/>
      </c>
    </row>
    <row r="445" spans="1:18" x14ac:dyDescent="0.3">
      <c r="A445">
        <f t="shared" si="35"/>
        <v>0</v>
      </c>
      <c r="B445" t="str">
        <f>H445&amp;" "&amp;COUNTIFS($H$3:H445,H445)</f>
        <v xml:space="preserve"> 0</v>
      </c>
      <c r="C445" s="34"/>
      <c r="D445" s="32"/>
      <c r="E445" s="32"/>
      <c r="F445" s="32"/>
      <c r="G445" s="32"/>
      <c r="H445" s="32"/>
      <c r="I445" s="105" t="str">
        <f t="shared" si="36"/>
        <v/>
      </c>
      <c r="J445" s="45"/>
      <c r="K445" s="45"/>
      <c r="L445" s="33"/>
      <c r="M445" s="32"/>
      <c r="N445" s="47"/>
      <c r="O445" s="88"/>
      <c r="P445" s="2" t="str">
        <f t="shared" si="33"/>
        <v/>
      </c>
      <c r="Q445" s="2" t="str">
        <f t="shared" si="34"/>
        <v/>
      </c>
      <c r="R445" s="156" t="str">
        <f t="shared" si="37"/>
        <v/>
      </c>
    </row>
    <row r="446" spans="1:18" x14ac:dyDescent="0.3">
      <c r="A446">
        <f t="shared" si="35"/>
        <v>0</v>
      </c>
      <c r="B446" t="str">
        <f>H446&amp;" "&amp;COUNTIFS($H$3:H446,H446)</f>
        <v xml:space="preserve"> 0</v>
      </c>
      <c r="C446" s="34"/>
      <c r="D446" s="32"/>
      <c r="E446" s="32"/>
      <c r="F446" s="32"/>
      <c r="G446" s="32"/>
      <c r="H446" s="32"/>
      <c r="I446" s="105" t="str">
        <f t="shared" si="36"/>
        <v/>
      </c>
      <c r="J446" s="45"/>
      <c r="K446" s="45"/>
      <c r="L446" s="33"/>
      <c r="M446" s="32"/>
      <c r="N446" s="47"/>
      <c r="O446" s="88"/>
      <c r="P446" s="2" t="str">
        <f t="shared" si="33"/>
        <v/>
      </c>
      <c r="Q446" s="2" t="str">
        <f t="shared" si="34"/>
        <v/>
      </c>
      <c r="R446" s="156" t="str">
        <f t="shared" si="37"/>
        <v/>
      </c>
    </row>
    <row r="447" spans="1:18" x14ac:dyDescent="0.3">
      <c r="A447">
        <f t="shared" si="35"/>
        <v>0</v>
      </c>
      <c r="B447" t="str">
        <f>H447&amp;" "&amp;COUNTIFS($H$3:H447,H447)</f>
        <v xml:space="preserve"> 0</v>
      </c>
      <c r="C447" s="34"/>
      <c r="D447" s="32"/>
      <c r="E447" s="32"/>
      <c r="F447" s="32"/>
      <c r="G447" s="32"/>
      <c r="H447" s="32"/>
      <c r="I447" s="105" t="str">
        <f t="shared" si="36"/>
        <v/>
      </c>
      <c r="J447" s="45"/>
      <c r="K447" s="45"/>
      <c r="L447" s="33"/>
      <c r="M447" s="32"/>
      <c r="N447" s="47"/>
      <c r="O447" s="88"/>
      <c r="P447" s="2" t="str">
        <f t="shared" si="33"/>
        <v/>
      </c>
      <c r="Q447" s="2" t="str">
        <f t="shared" si="34"/>
        <v/>
      </c>
      <c r="R447" s="156" t="str">
        <f t="shared" si="37"/>
        <v/>
      </c>
    </row>
    <row r="448" spans="1:18" x14ac:dyDescent="0.3">
      <c r="A448">
        <f t="shared" si="35"/>
        <v>0</v>
      </c>
      <c r="B448" t="str">
        <f>H448&amp;" "&amp;COUNTIFS($H$3:H448,H448)</f>
        <v xml:space="preserve"> 0</v>
      </c>
      <c r="C448" s="34"/>
      <c r="D448" s="32"/>
      <c r="E448" s="32"/>
      <c r="F448" s="32"/>
      <c r="G448" s="32"/>
      <c r="H448" s="32"/>
      <c r="I448" s="105" t="str">
        <f t="shared" si="36"/>
        <v/>
      </c>
      <c r="J448" s="45"/>
      <c r="K448" s="45"/>
      <c r="L448" s="33"/>
      <c r="M448" s="32"/>
      <c r="N448" s="47"/>
      <c r="O448" s="88"/>
      <c r="P448" s="2" t="str">
        <f t="shared" si="33"/>
        <v/>
      </c>
      <c r="Q448" s="2" t="str">
        <f t="shared" si="34"/>
        <v/>
      </c>
      <c r="R448" s="156" t="str">
        <f t="shared" si="37"/>
        <v/>
      </c>
    </row>
    <row r="449" spans="1:18" x14ac:dyDescent="0.3">
      <c r="A449">
        <f t="shared" si="35"/>
        <v>0</v>
      </c>
      <c r="B449" t="str">
        <f>H449&amp;" "&amp;COUNTIFS($H$3:H449,H449)</f>
        <v xml:space="preserve"> 0</v>
      </c>
      <c r="C449" s="34"/>
      <c r="D449" s="32"/>
      <c r="E449" s="32"/>
      <c r="F449" s="32"/>
      <c r="G449" s="32"/>
      <c r="H449" s="32"/>
      <c r="I449" s="105" t="str">
        <f t="shared" si="36"/>
        <v/>
      </c>
      <c r="J449" s="45"/>
      <c r="K449" s="45"/>
      <c r="L449" s="33"/>
      <c r="M449" s="32"/>
      <c r="N449" s="47"/>
      <c r="O449" s="88"/>
      <c r="P449" s="2" t="str">
        <f t="shared" si="33"/>
        <v/>
      </c>
      <c r="Q449" s="2" t="str">
        <f t="shared" si="34"/>
        <v/>
      </c>
      <c r="R449" s="156" t="str">
        <f t="shared" si="37"/>
        <v/>
      </c>
    </row>
    <row r="450" spans="1:18" x14ac:dyDescent="0.3">
      <c r="A450">
        <f t="shared" si="35"/>
        <v>0</v>
      </c>
      <c r="B450" t="str">
        <f>H450&amp;" "&amp;COUNTIFS($H$3:H450,H450)</f>
        <v xml:space="preserve"> 0</v>
      </c>
      <c r="C450" s="34"/>
      <c r="D450" s="32"/>
      <c r="E450" s="32"/>
      <c r="F450" s="32"/>
      <c r="G450" s="32"/>
      <c r="H450" s="32"/>
      <c r="I450" s="105" t="str">
        <f t="shared" si="36"/>
        <v/>
      </c>
      <c r="J450" s="45"/>
      <c r="K450" s="45"/>
      <c r="L450" s="33"/>
      <c r="M450" s="32"/>
      <c r="N450" s="47"/>
      <c r="O450" s="88"/>
      <c r="P450" s="2" t="str">
        <f t="shared" si="33"/>
        <v/>
      </c>
      <c r="Q450" s="2" t="str">
        <f t="shared" si="34"/>
        <v/>
      </c>
      <c r="R450" s="156" t="str">
        <f t="shared" si="37"/>
        <v/>
      </c>
    </row>
    <row r="451" spans="1:18" x14ac:dyDescent="0.3">
      <c r="A451">
        <f t="shared" si="35"/>
        <v>0</v>
      </c>
      <c r="B451" t="str">
        <f>H451&amp;" "&amp;COUNTIFS($H$3:H451,H451)</f>
        <v xml:space="preserve"> 0</v>
      </c>
      <c r="C451" s="34"/>
      <c r="D451" s="32"/>
      <c r="E451" s="32"/>
      <c r="F451" s="32"/>
      <c r="G451" s="32"/>
      <c r="H451" s="32"/>
      <c r="I451" s="105" t="str">
        <f t="shared" si="36"/>
        <v/>
      </c>
      <c r="J451" s="45"/>
      <c r="K451" s="45"/>
      <c r="L451" s="33"/>
      <c r="M451" s="32"/>
      <c r="N451" s="47"/>
      <c r="O451" s="88"/>
      <c r="P451" s="2" t="str">
        <f t="shared" ref="P451:P500" si="38">IFERROR(VLOOKUP(O451,DAFTAR_TOKO,2,FALSE),"")</f>
        <v/>
      </c>
      <c r="Q451" s="2" t="str">
        <f t="shared" ref="Q451:Q500" si="39">IFERROR(VLOOKUP(O451,DAFTAR_TOKO,3,FALSE),"")</f>
        <v/>
      </c>
      <c r="R451" s="156" t="str">
        <f t="shared" si="37"/>
        <v/>
      </c>
    </row>
    <row r="452" spans="1:18" x14ac:dyDescent="0.3">
      <c r="A452">
        <f t="shared" ref="A452:A500" si="40">H452</f>
        <v>0</v>
      </c>
      <c r="B452" t="str">
        <f>H452&amp;" "&amp;COUNTIFS($H$3:H452,H452)</f>
        <v xml:space="preserve"> 0</v>
      </c>
      <c r="C452" s="34"/>
      <c r="D452" s="32"/>
      <c r="E452" s="32"/>
      <c r="F452" s="32"/>
      <c r="G452" s="32"/>
      <c r="H452" s="32"/>
      <c r="I452" s="105" t="str">
        <f t="shared" ref="I452:I499" si="41">IF(K452="","",L452/K452)</f>
        <v/>
      </c>
      <c r="J452" s="45"/>
      <c r="K452" s="45"/>
      <c r="L452" s="33"/>
      <c r="M452" s="32"/>
      <c r="N452" s="47"/>
      <c r="O452" s="88"/>
      <c r="P452" s="2" t="str">
        <f t="shared" si="38"/>
        <v/>
      </c>
      <c r="Q452" s="2" t="str">
        <f t="shared" si="39"/>
        <v/>
      </c>
      <c r="R452" s="156" t="str">
        <f t="shared" ref="R452:R499" si="42">IF(C452="","",C452)</f>
        <v/>
      </c>
    </row>
    <row r="453" spans="1:18" x14ac:dyDescent="0.3">
      <c r="A453">
        <f t="shared" si="40"/>
        <v>0</v>
      </c>
      <c r="B453" t="str">
        <f>H453&amp;" "&amp;COUNTIFS($H$3:H453,H453)</f>
        <v xml:space="preserve"> 0</v>
      </c>
      <c r="C453" s="34"/>
      <c r="D453" s="32"/>
      <c r="E453" s="32"/>
      <c r="F453" s="32"/>
      <c r="G453" s="32"/>
      <c r="H453" s="32"/>
      <c r="I453" s="105" t="str">
        <f t="shared" si="41"/>
        <v/>
      </c>
      <c r="J453" s="45"/>
      <c r="K453" s="45"/>
      <c r="L453" s="33"/>
      <c r="M453" s="32"/>
      <c r="N453" s="47"/>
      <c r="O453" s="88"/>
      <c r="P453" s="2" t="str">
        <f t="shared" si="38"/>
        <v/>
      </c>
      <c r="Q453" s="2" t="str">
        <f t="shared" si="39"/>
        <v/>
      </c>
      <c r="R453" s="156" t="str">
        <f t="shared" si="42"/>
        <v/>
      </c>
    </row>
    <row r="454" spans="1:18" x14ac:dyDescent="0.3">
      <c r="A454">
        <f t="shared" si="40"/>
        <v>0</v>
      </c>
      <c r="B454" t="str">
        <f>H454&amp;" "&amp;COUNTIFS($H$3:H454,H454)</f>
        <v xml:space="preserve"> 0</v>
      </c>
      <c r="C454" s="34"/>
      <c r="D454" s="32"/>
      <c r="E454" s="32"/>
      <c r="F454" s="32"/>
      <c r="G454" s="32"/>
      <c r="H454" s="32"/>
      <c r="I454" s="105" t="str">
        <f t="shared" si="41"/>
        <v/>
      </c>
      <c r="J454" s="45"/>
      <c r="K454" s="45"/>
      <c r="L454" s="33"/>
      <c r="M454" s="32"/>
      <c r="N454" s="47"/>
      <c r="O454" s="88"/>
      <c r="P454" s="2" t="str">
        <f t="shared" si="38"/>
        <v/>
      </c>
      <c r="Q454" s="2" t="str">
        <f t="shared" si="39"/>
        <v/>
      </c>
      <c r="R454" s="156" t="str">
        <f t="shared" si="42"/>
        <v/>
      </c>
    </row>
    <row r="455" spans="1:18" x14ac:dyDescent="0.3">
      <c r="A455">
        <f t="shared" si="40"/>
        <v>0</v>
      </c>
      <c r="B455" t="str">
        <f>H455&amp;" "&amp;COUNTIFS($H$3:H455,H455)</f>
        <v xml:space="preserve"> 0</v>
      </c>
      <c r="C455" s="34"/>
      <c r="D455" s="32"/>
      <c r="E455" s="32"/>
      <c r="F455" s="32"/>
      <c r="G455" s="32"/>
      <c r="H455" s="32"/>
      <c r="I455" s="105" t="str">
        <f t="shared" si="41"/>
        <v/>
      </c>
      <c r="J455" s="45"/>
      <c r="K455" s="45"/>
      <c r="L455" s="33"/>
      <c r="M455" s="32"/>
      <c r="N455" s="47"/>
      <c r="O455" s="88"/>
      <c r="P455" s="2" t="str">
        <f t="shared" si="38"/>
        <v/>
      </c>
      <c r="Q455" s="2" t="str">
        <f t="shared" si="39"/>
        <v/>
      </c>
      <c r="R455" s="156" t="str">
        <f t="shared" si="42"/>
        <v/>
      </c>
    </row>
    <row r="456" spans="1:18" x14ac:dyDescent="0.3">
      <c r="A456">
        <f t="shared" si="40"/>
        <v>0</v>
      </c>
      <c r="B456" t="str">
        <f>H456&amp;" "&amp;COUNTIFS($H$3:H456,H456)</f>
        <v xml:space="preserve"> 0</v>
      </c>
      <c r="C456" s="34"/>
      <c r="D456" s="32"/>
      <c r="E456" s="32"/>
      <c r="F456" s="32"/>
      <c r="G456" s="32"/>
      <c r="H456" s="32"/>
      <c r="I456" s="105" t="str">
        <f t="shared" si="41"/>
        <v/>
      </c>
      <c r="J456" s="45"/>
      <c r="K456" s="45"/>
      <c r="L456" s="33"/>
      <c r="M456" s="32"/>
      <c r="N456" s="47"/>
      <c r="O456" s="88"/>
      <c r="P456" s="2" t="str">
        <f t="shared" si="38"/>
        <v/>
      </c>
      <c r="Q456" s="2" t="str">
        <f t="shared" si="39"/>
        <v/>
      </c>
      <c r="R456" s="156" t="str">
        <f t="shared" si="42"/>
        <v/>
      </c>
    </row>
    <row r="457" spans="1:18" x14ac:dyDescent="0.3">
      <c r="A457">
        <f t="shared" si="40"/>
        <v>0</v>
      </c>
      <c r="B457" t="str">
        <f>H457&amp;" "&amp;COUNTIFS($H$3:H457,H457)</f>
        <v xml:space="preserve"> 0</v>
      </c>
      <c r="C457" s="34"/>
      <c r="D457" s="32"/>
      <c r="E457" s="32"/>
      <c r="F457" s="32"/>
      <c r="G457" s="32"/>
      <c r="H457" s="32"/>
      <c r="I457" s="105" t="str">
        <f t="shared" si="41"/>
        <v/>
      </c>
      <c r="J457" s="45"/>
      <c r="K457" s="45"/>
      <c r="L457" s="33"/>
      <c r="M457" s="32"/>
      <c r="N457" s="47"/>
      <c r="O457" s="88"/>
      <c r="P457" s="2" t="str">
        <f t="shared" si="38"/>
        <v/>
      </c>
      <c r="Q457" s="2" t="str">
        <f t="shared" si="39"/>
        <v/>
      </c>
      <c r="R457" s="156" t="str">
        <f t="shared" si="42"/>
        <v/>
      </c>
    </row>
    <row r="458" spans="1:18" x14ac:dyDescent="0.3">
      <c r="A458">
        <f t="shared" si="40"/>
        <v>0</v>
      </c>
      <c r="B458" t="str">
        <f>H458&amp;" "&amp;COUNTIFS($H$3:H458,H458)</f>
        <v xml:space="preserve"> 0</v>
      </c>
      <c r="C458" s="34"/>
      <c r="D458" s="32"/>
      <c r="E458" s="32"/>
      <c r="F458" s="32"/>
      <c r="G458" s="32"/>
      <c r="H458" s="32"/>
      <c r="I458" s="105" t="str">
        <f t="shared" si="41"/>
        <v/>
      </c>
      <c r="J458" s="45"/>
      <c r="K458" s="45"/>
      <c r="L458" s="33"/>
      <c r="M458" s="32"/>
      <c r="N458" s="47"/>
      <c r="O458" s="88"/>
      <c r="P458" s="2" t="str">
        <f t="shared" si="38"/>
        <v/>
      </c>
      <c r="Q458" s="2" t="str">
        <f t="shared" si="39"/>
        <v/>
      </c>
      <c r="R458" s="156" t="str">
        <f t="shared" si="42"/>
        <v/>
      </c>
    </row>
    <row r="459" spans="1:18" x14ac:dyDescent="0.3">
      <c r="A459">
        <f t="shared" si="40"/>
        <v>0</v>
      </c>
      <c r="B459" t="str">
        <f>H459&amp;" "&amp;COUNTIFS($H$3:H459,H459)</f>
        <v xml:space="preserve"> 0</v>
      </c>
      <c r="C459" s="34"/>
      <c r="D459" s="32"/>
      <c r="E459" s="32"/>
      <c r="F459" s="32"/>
      <c r="G459" s="32"/>
      <c r="H459" s="32"/>
      <c r="I459" s="105" t="str">
        <f t="shared" si="41"/>
        <v/>
      </c>
      <c r="J459" s="45"/>
      <c r="K459" s="45"/>
      <c r="L459" s="33"/>
      <c r="M459" s="32"/>
      <c r="N459" s="47"/>
      <c r="O459" s="88"/>
      <c r="P459" s="2" t="str">
        <f t="shared" si="38"/>
        <v/>
      </c>
      <c r="Q459" s="2" t="str">
        <f t="shared" si="39"/>
        <v/>
      </c>
      <c r="R459" s="156" t="str">
        <f t="shared" si="42"/>
        <v/>
      </c>
    </row>
    <row r="460" spans="1:18" x14ac:dyDescent="0.3">
      <c r="A460">
        <f t="shared" si="40"/>
        <v>0</v>
      </c>
      <c r="B460" t="str">
        <f>H460&amp;" "&amp;COUNTIFS($H$3:H460,H460)</f>
        <v xml:space="preserve"> 0</v>
      </c>
      <c r="C460" s="34"/>
      <c r="D460" s="32"/>
      <c r="E460" s="32"/>
      <c r="F460" s="32"/>
      <c r="G460" s="32"/>
      <c r="H460" s="32"/>
      <c r="I460" s="105" t="str">
        <f t="shared" si="41"/>
        <v/>
      </c>
      <c r="J460" s="45"/>
      <c r="K460" s="45"/>
      <c r="L460" s="33"/>
      <c r="M460" s="32"/>
      <c r="N460" s="47"/>
      <c r="O460" s="88"/>
      <c r="P460" s="2" t="str">
        <f t="shared" si="38"/>
        <v/>
      </c>
      <c r="Q460" s="2" t="str">
        <f t="shared" si="39"/>
        <v/>
      </c>
      <c r="R460" s="156" t="str">
        <f t="shared" si="42"/>
        <v/>
      </c>
    </row>
    <row r="461" spans="1:18" x14ac:dyDescent="0.3">
      <c r="A461">
        <f t="shared" si="40"/>
        <v>0</v>
      </c>
      <c r="B461" t="str">
        <f>H461&amp;" "&amp;COUNTIFS($H$3:H461,H461)</f>
        <v xml:space="preserve"> 0</v>
      </c>
      <c r="C461" s="34"/>
      <c r="D461" s="32"/>
      <c r="E461" s="32"/>
      <c r="F461" s="32"/>
      <c r="G461" s="32"/>
      <c r="H461" s="32"/>
      <c r="I461" s="105" t="str">
        <f t="shared" si="41"/>
        <v/>
      </c>
      <c r="J461" s="45"/>
      <c r="K461" s="45"/>
      <c r="L461" s="33"/>
      <c r="M461" s="32"/>
      <c r="N461" s="47"/>
      <c r="O461" s="88"/>
      <c r="P461" s="2" t="str">
        <f t="shared" si="38"/>
        <v/>
      </c>
      <c r="Q461" s="2" t="str">
        <f t="shared" si="39"/>
        <v/>
      </c>
      <c r="R461" s="156" t="str">
        <f t="shared" si="42"/>
        <v/>
      </c>
    </row>
    <row r="462" spans="1:18" x14ac:dyDescent="0.3">
      <c r="A462">
        <f t="shared" si="40"/>
        <v>0</v>
      </c>
      <c r="B462" t="str">
        <f>H462&amp;" "&amp;COUNTIFS($H$3:H462,H462)</f>
        <v xml:space="preserve"> 0</v>
      </c>
      <c r="C462" s="34"/>
      <c r="D462" s="32"/>
      <c r="E462" s="32"/>
      <c r="F462" s="32"/>
      <c r="G462" s="32"/>
      <c r="H462" s="32"/>
      <c r="I462" s="105" t="str">
        <f t="shared" si="41"/>
        <v/>
      </c>
      <c r="J462" s="45"/>
      <c r="K462" s="45"/>
      <c r="L462" s="33"/>
      <c r="M462" s="32"/>
      <c r="N462" s="47"/>
      <c r="O462" s="88"/>
      <c r="P462" s="2" t="str">
        <f t="shared" si="38"/>
        <v/>
      </c>
      <c r="Q462" s="2" t="str">
        <f t="shared" si="39"/>
        <v/>
      </c>
      <c r="R462" s="156" t="str">
        <f t="shared" si="42"/>
        <v/>
      </c>
    </row>
    <row r="463" spans="1:18" x14ac:dyDescent="0.3">
      <c r="A463">
        <f t="shared" si="40"/>
        <v>0</v>
      </c>
      <c r="B463" t="str">
        <f>H463&amp;" "&amp;COUNTIFS($H$3:H463,H463)</f>
        <v xml:space="preserve"> 0</v>
      </c>
      <c r="C463" s="34"/>
      <c r="D463" s="32"/>
      <c r="E463" s="32"/>
      <c r="F463" s="32"/>
      <c r="G463" s="32"/>
      <c r="H463" s="32"/>
      <c r="I463" s="105" t="str">
        <f t="shared" si="41"/>
        <v/>
      </c>
      <c r="J463" s="45"/>
      <c r="K463" s="45"/>
      <c r="L463" s="33"/>
      <c r="M463" s="32"/>
      <c r="N463" s="47"/>
      <c r="O463" s="88"/>
      <c r="P463" s="2" t="str">
        <f t="shared" si="38"/>
        <v/>
      </c>
      <c r="Q463" s="2" t="str">
        <f t="shared" si="39"/>
        <v/>
      </c>
      <c r="R463" s="156" t="str">
        <f t="shared" si="42"/>
        <v/>
      </c>
    </row>
    <row r="464" spans="1:18" x14ac:dyDescent="0.3">
      <c r="A464">
        <f t="shared" si="40"/>
        <v>0</v>
      </c>
      <c r="B464" t="str">
        <f>H464&amp;" "&amp;COUNTIFS($H$3:H464,H464)</f>
        <v xml:space="preserve"> 0</v>
      </c>
      <c r="C464" s="34"/>
      <c r="D464" s="32"/>
      <c r="E464" s="32"/>
      <c r="F464" s="32"/>
      <c r="G464" s="32"/>
      <c r="H464" s="32"/>
      <c r="I464" s="105" t="str">
        <f t="shared" si="41"/>
        <v/>
      </c>
      <c r="J464" s="45"/>
      <c r="K464" s="45"/>
      <c r="L464" s="33"/>
      <c r="M464" s="32"/>
      <c r="N464" s="47"/>
      <c r="O464" s="88"/>
      <c r="P464" s="2" t="str">
        <f t="shared" si="38"/>
        <v/>
      </c>
      <c r="Q464" s="2" t="str">
        <f t="shared" si="39"/>
        <v/>
      </c>
      <c r="R464" s="156" t="str">
        <f t="shared" si="42"/>
        <v/>
      </c>
    </row>
    <row r="465" spans="1:18" x14ac:dyDescent="0.3">
      <c r="A465">
        <f t="shared" si="40"/>
        <v>0</v>
      </c>
      <c r="B465" t="str">
        <f>H465&amp;" "&amp;COUNTIFS($H$3:H465,H465)</f>
        <v xml:space="preserve"> 0</v>
      </c>
      <c r="C465" s="34"/>
      <c r="D465" s="32"/>
      <c r="E465" s="32"/>
      <c r="F465" s="32"/>
      <c r="G465" s="32"/>
      <c r="H465" s="32"/>
      <c r="I465" s="105" t="str">
        <f t="shared" si="41"/>
        <v/>
      </c>
      <c r="J465" s="45"/>
      <c r="K465" s="45"/>
      <c r="L465" s="33"/>
      <c r="M465" s="32"/>
      <c r="N465" s="47"/>
      <c r="O465" s="88"/>
      <c r="P465" s="2" t="str">
        <f t="shared" si="38"/>
        <v/>
      </c>
      <c r="Q465" s="2" t="str">
        <f t="shared" si="39"/>
        <v/>
      </c>
      <c r="R465" s="156" t="str">
        <f t="shared" si="42"/>
        <v/>
      </c>
    </row>
    <row r="466" spans="1:18" x14ac:dyDescent="0.3">
      <c r="A466">
        <f t="shared" si="40"/>
        <v>0</v>
      </c>
      <c r="B466" t="str">
        <f>H466&amp;" "&amp;COUNTIFS($H$3:H466,H466)</f>
        <v xml:space="preserve"> 0</v>
      </c>
      <c r="C466" s="34"/>
      <c r="D466" s="32"/>
      <c r="E466" s="32"/>
      <c r="F466" s="32"/>
      <c r="G466" s="32"/>
      <c r="H466" s="32"/>
      <c r="I466" s="105" t="str">
        <f t="shared" si="41"/>
        <v/>
      </c>
      <c r="J466" s="45"/>
      <c r="K466" s="45"/>
      <c r="L466" s="33"/>
      <c r="M466" s="32"/>
      <c r="N466" s="47"/>
      <c r="O466" s="88"/>
      <c r="P466" s="2" t="str">
        <f t="shared" si="38"/>
        <v/>
      </c>
      <c r="Q466" s="2" t="str">
        <f t="shared" si="39"/>
        <v/>
      </c>
      <c r="R466" s="156" t="str">
        <f t="shared" si="42"/>
        <v/>
      </c>
    </row>
    <row r="467" spans="1:18" x14ac:dyDescent="0.3">
      <c r="A467">
        <f t="shared" si="40"/>
        <v>0</v>
      </c>
      <c r="B467" t="str">
        <f>H467&amp;" "&amp;COUNTIFS($H$3:H467,H467)</f>
        <v xml:space="preserve"> 0</v>
      </c>
      <c r="C467" s="34"/>
      <c r="D467" s="32"/>
      <c r="E467" s="32"/>
      <c r="F467" s="32"/>
      <c r="G467" s="32"/>
      <c r="H467" s="32"/>
      <c r="I467" s="105" t="str">
        <f t="shared" si="41"/>
        <v/>
      </c>
      <c r="J467" s="45"/>
      <c r="K467" s="45"/>
      <c r="L467" s="33"/>
      <c r="M467" s="32"/>
      <c r="N467" s="47"/>
      <c r="O467" s="88"/>
      <c r="P467" s="2" t="str">
        <f t="shared" si="38"/>
        <v/>
      </c>
      <c r="Q467" s="2" t="str">
        <f t="shared" si="39"/>
        <v/>
      </c>
      <c r="R467" s="156" t="str">
        <f t="shared" si="42"/>
        <v/>
      </c>
    </row>
    <row r="468" spans="1:18" x14ac:dyDescent="0.3">
      <c r="A468">
        <f t="shared" si="40"/>
        <v>0</v>
      </c>
      <c r="B468" t="str">
        <f>H468&amp;" "&amp;COUNTIFS($H$3:H468,H468)</f>
        <v xml:space="preserve"> 0</v>
      </c>
      <c r="C468" s="34"/>
      <c r="D468" s="32"/>
      <c r="E468" s="32"/>
      <c r="F468" s="32"/>
      <c r="G468" s="32"/>
      <c r="H468" s="32"/>
      <c r="I468" s="105" t="str">
        <f t="shared" si="41"/>
        <v/>
      </c>
      <c r="J468" s="45"/>
      <c r="K468" s="45"/>
      <c r="L468" s="33"/>
      <c r="M468" s="32"/>
      <c r="N468" s="47"/>
      <c r="O468" s="88"/>
      <c r="P468" s="2" t="str">
        <f t="shared" si="38"/>
        <v/>
      </c>
      <c r="Q468" s="2" t="str">
        <f t="shared" si="39"/>
        <v/>
      </c>
      <c r="R468" s="156" t="str">
        <f t="shared" si="42"/>
        <v/>
      </c>
    </row>
    <row r="469" spans="1:18" x14ac:dyDescent="0.3">
      <c r="A469">
        <f t="shared" si="40"/>
        <v>0</v>
      </c>
      <c r="B469" t="str">
        <f>H469&amp;" "&amp;COUNTIFS($H$3:H469,H469)</f>
        <v xml:space="preserve"> 0</v>
      </c>
      <c r="C469" s="34"/>
      <c r="D469" s="32"/>
      <c r="E469" s="32"/>
      <c r="F469" s="32"/>
      <c r="G469" s="32"/>
      <c r="H469" s="32"/>
      <c r="I469" s="105" t="str">
        <f t="shared" si="41"/>
        <v/>
      </c>
      <c r="J469" s="45"/>
      <c r="K469" s="45"/>
      <c r="L469" s="33"/>
      <c r="M469" s="32"/>
      <c r="N469" s="47"/>
      <c r="O469" s="88"/>
      <c r="P469" s="2" t="str">
        <f t="shared" si="38"/>
        <v/>
      </c>
      <c r="Q469" s="2" t="str">
        <f t="shared" si="39"/>
        <v/>
      </c>
      <c r="R469" s="156" t="str">
        <f t="shared" si="42"/>
        <v/>
      </c>
    </row>
    <row r="470" spans="1:18" x14ac:dyDescent="0.3">
      <c r="A470">
        <f t="shared" si="40"/>
        <v>0</v>
      </c>
      <c r="B470" t="str">
        <f>H470&amp;" "&amp;COUNTIFS($H$3:H470,H470)</f>
        <v xml:space="preserve"> 0</v>
      </c>
      <c r="C470" s="34"/>
      <c r="D470" s="32"/>
      <c r="E470" s="32"/>
      <c r="F470" s="32"/>
      <c r="G470" s="32"/>
      <c r="H470" s="32"/>
      <c r="I470" s="105" t="str">
        <f t="shared" si="41"/>
        <v/>
      </c>
      <c r="J470" s="45"/>
      <c r="K470" s="45"/>
      <c r="L470" s="33"/>
      <c r="M470" s="32"/>
      <c r="N470" s="47"/>
      <c r="O470" s="88"/>
      <c r="P470" s="2" t="str">
        <f t="shared" si="38"/>
        <v/>
      </c>
      <c r="Q470" s="2" t="str">
        <f t="shared" si="39"/>
        <v/>
      </c>
      <c r="R470" s="156" t="str">
        <f t="shared" si="42"/>
        <v/>
      </c>
    </row>
    <row r="471" spans="1:18" x14ac:dyDescent="0.3">
      <c r="A471">
        <f t="shared" si="40"/>
        <v>0</v>
      </c>
      <c r="B471" t="str">
        <f>H471&amp;" "&amp;COUNTIFS($H$3:H471,H471)</f>
        <v xml:space="preserve"> 0</v>
      </c>
      <c r="C471" s="34"/>
      <c r="D471" s="32"/>
      <c r="E471" s="32"/>
      <c r="F471" s="32"/>
      <c r="G471" s="32"/>
      <c r="H471" s="32"/>
      <c r="I471" s="105" t="str">
        <f t="shared" si="41"/>
        <v/>
      </c>
      <c r="J471" s="45"/>
      <c r="K471" s="45"/>
      <c r="L471" s="33"/>
      <c r="M471" s="32"/>
      <c r="N471" s="47"/>
      <c r="O471" s="88"/>
      <c r="P471" s="2" t="str">
        <f t="shared" si="38"/>
        <v/>
      </c>
      <c r="Q471" s="2" t="str">
        <f t="shared" si="39"/>
        <v/>
      </c>
      <c r="R471" s="156" t="str">
        <f t="shared" si="42"/>
        <v/>
      </c>
    </row>
    <row r="472" spans="1:18" x14ac:dyDescent="0.3">
      <c r="A472">
        <f t="shared" si="40"/>
        <v>0</v>
      </c>
      <c r="B472" t="str">
        <f>H472&amp;" "&amp;COUNTIFS($H$3:H472,H472)</f>
        <v xml:space="preserve"> 0</v>
      </c>
      <c r="C472" s="34"/>
      <c r="D472" s="32"/>
      <c r="E472" s="32"/>
      <c r="F472" s="32"/>
      <c r="G472" s="32"/>
      <c r="H472" s="32"/>
      <c r="I472" s="105" t="str">
        <f t="shared" si="41"/>
        <v/>
      </c>
      <c r="J472" s="45"/>
      <c r="K472" s="45"/>
      <c r="L472" s="33"/>
      <c r="M472" s="32"/>
      <c r="N472" s="47"/>
      <c r="O472" s="88"/>
      <c r="P472" s="2" t="str">
        <f t="shared" si="38"/>
        <v/>
      </c>
      <c r="Q472" s="2" t="str">
        <f t="shared" si="39"/>
        <v/>
      </c>
      <c r="R472" s="156" t="str">
        <f t="shared" si="42"/>
        <v/>
      </c>
    </row>
    <row r="473" spans="1:18" x14ac:dyDescent="0.3">
      <c r="A473">
        <f t="shared" si="40"/>
        <v>0</v>
      </c>
      <c r="B473" t="str">
        <f>H473&amp;" "&amp;COUNTIFS($H$3:H473,H473)</f>
        <v xml:space="preserve"> 0</v>
      </c>
      <c r="C473" s="34"/>
      <c r="D473" s="32"/>
      <c r="E473" s="32"/>
      <c r="F473" s="32"/>
      <c r="G473" s="32"/>
      <c r="H473" s="32"/>
      <c r="I473" s="105" t="str">
        <f t="shared" si="41"/>
        <v/>
      </c>
      <c r="J473" s="45"/>
      <c r="K473" s="45"/>
      <c r="L473" s="33"/>
      <c r="M473" s="32"/>
      <c r="N473" s="47"/>
      <c r="O473" s="88"/>
      <c r="P473" s="2" t="str">
        <f t="shared" si="38"/>
        <v/>
      </c>
      <c r="Q473" s="2" t="str">
        <f t="shared" si="39"/>
        <v/>
      </c>
      <c r="R473" s="156" t="str">
        <f t="shared" si="42"/>
        <v/>
      </c>
    </row>
    <row r="474" spans="1:18" x14ac:dyDescent="0.3">
      <c r="A474">
        <f t="shared" si="40"/>
        <v>0</v>
      </c>
      <c r="B474" t="str">
        <f>H474&amp;" "&amp;COUNTIFS($H$3:H474,H474)</f>
        <v xml:space="preserve"> 0</v>
      </c>
      <c r="C474" s="34"/>
      <c r="D474" s="32"/>
      <c r="E474" s="32"/>
      <c r="F474" s="32"/>
      <c r="G474" s="32"/>
      <c r="H474" s="32"/>
      <c r="I474" s="105" t="str">
        <f t="shared" si="41"/>
        <v/>
      </c>
      <c r="J474" s="45"/>
      <c r="K474" s="45"/>
      <c r="L474" s="33"/>
      <c r="M474" s="32"/>
      <c r="N474" s="47"/>
      <c r="O474" s="88"/>
      <c r="P474" s="2" t="str">
        <f t="shared" si="38"/>
        <v/>
      </c>
      <c r="Q474" s="2" t="str">
        <f t="shared" si="39"/>
        <v/>
      </c>
      <c r="R474" s="156" t="str">
        <f t="shared" si="42"/>
        <v/>
      </c>
    </row>
    <row r="475" spans="1:18" x14ac:dyDescent="0.3">
      <c r="A475">
        <f t="shared" si="40"/>
        <v>0</v>
      </c>
      <c r="B475" t="str">
        <f>H475&amp;" "&amp;COUNTIFS($H$3:H475,H475)</f>
        <v xml:space="preserve"> 0</v>
      </c>
      <c r="C475" s="34"/>
      <c r="D475" s="32"/>
      <c r="E475" s="32"/>
      <c r="F475" s="32"/>
      <c r="G475" s="32"/>
      <c r="H475" s="32"/>
      <c r="I475" s="105" t="str">
        <f t="shared" si="41"/>
        <v/>
      </c>
      <c r="J475" s="45"/>
      <c r="K475" s="45"/>
      <c r="L475" s="33"/>
      <c r="M475" s="32"/>
      <c r="N475" s="47"/>
      <c r="O475" s="88"/>
      <c r="P475" s="2" t="str">
        <f t="shared" si="38"/>
        <v/>
      </c>
      <c r="Q475" s="2" t="str">
        <f t="shared" si="39"/>
        <v/>
      </c>
      <c r="R475" s="156" t="str">
        <f t="shared" si="42"/>
        <v/>
      </c>
    </row>
    <row r="476" spans="1:18" x14ac:dyDescent="0.3">
      <c r="A476">
        <f t="shared" si="40"/>
        <v>0</v>
      </c>
      <c r="B476" t="str">
        <f>H476&amp;" "&amp;COUNTIFS($H$3:H476,H476)</f>
        <v xml:space="preserve"> 0</v>
      </c>
      <c r="C476" s="34"/>
      <c r="D476" s="32"/>
      <c r="E476" s="32"/>
      <c r="F476" s="32"/>
      <c r="G476" s="32"/>
      <c r="H476" s="32"/>
      <c r="I476" s="105" t="str">
        <f t="shared" si="41"/>
        <v/>
      </c>
      <c r="J476" s="45"/>
      <c r="K476" s="45"/>
      <c r="L476" s="33"/>
      <c r="M476" s="32"/>
      <c r="N476" s="47"/>
      <c r="O476" s="88"/>
      <c r="P476" s="2" t="str">
        <f t="shared" si="38"/>
        <v/>
      </c>
      <c r="Q476" s="2" t="str">
        <f t="shared" si="39"/>
        <v/>
      </c>
      <c r="R476" s="156" t="str">
        <f t="shared" si="42"/>
        <v/>
      </c>
    </row>
    <row r="477" spans="1:18" x14ac:dyDescent="0.3">
      <c r="A477">
        <f t="shared" si="40"/>
        <v>0</v>
      </c>
      <c r="B477" t="str">
        <f>H477&amp;" "&amp;COUNTIFS($H$3:H477,H477)</f>
        <v xml:space="preserve"> 0</v>
      </c>
      <c r="C477" s="34"/>
      <c r="D477" s="32"/>
      <c r="E477" s="32"/>
      <c r="F477" s="32"/>
      <c r="G477" s="32"/>
      <c r="H477" s="32"/>
      <c r="I477" s="105" t="str">
        <f t="shared" si="41"/>
        <v/>
      </c>
      <c r="J477" s="45"/>
      <c r="K477" s="45"/>
      <c r="L477" s="33"/>
      <c r="M477" s="32"/>
      <c r="N477" s="47"/>
      <c r="O477" s="88"/>
      <c r="P477" s="2" t="str">
        <f t="shared" si="38"/>
        <v/>
      </c>
      <c r="Q477" s="2" t="str">
        <f t="shared" si="39"/>
        <v/>
      </c>
      <c r="R477" s="156" t="str">
        <f t="shared" si="42"/>
        <v/>
      </c>
    </row>
    <row r="478" spans="1:18" x14ac:dyDescent="0.3">
      <c r="A478">
        <f t="shared" si="40"/>
        <v>0</v>
      </c>
      <c r="B478" t="str">
        <f>H478&amp;" "&amp;COUNTIFS($H$3:H478,H478)</f>
        <v xml:space="preserve"> 0</v>
      </c>
      <c r="C478" s="34"/>
      <c r="D478" s="32"/>
      <c r="E478" s="32"/>
      <c r="F478" s="32"/>
      <c r="G478" s="32"/>
      <c r="H478" s="32"/>
      <c r="I478" s="105" t="str">
        <f t="shared" si="41"/>
        <v/>
      </c>
      <c r="J478" s="45"/>
      <c r="K478" s="45"/>
      <c r="L478" s="33"/>
      <c r="M478" s="32"/>
      <c r="N478" s="47"/>
      <c r="O478" s="88"/>
      <c r="P478" s="2" t="str">
        <f t="shared" si="38"/>
        <v/>
      </c>
      <c r="Q478" s="2" t="str">
        <f t="shared" si="39"/>
        <v/>
      </c>
      <c r="R478" s="156" t="str">
        <f t="shared" si="42"/>
        <v/>
      </c>
    </row>
    <row r="479" spans="1:18" x14ac:dyDescent="0.3">
      <c r="A479">
        <f t="shared" si="40"/>
        <v>0</v>
      </c>
      <c r="B479" t="str">
        <f>H479&amp;" "&amp;COUNTIFS($H$3:H479,H479)</f>
        <v xml:space="preserve"> 0</v>
      </c>
      <c r="C479" s="34"/>
      <c r="D479" s="32"/>
      <c r="E479" s="32"/>
      <c r="F479" s="32"/>
      <c r="G479" s="32"/>
      <c r="H479" s="32"/>
      <c r="I479" s="105" t="str">
        <f t="shared" si="41"/>
        <v/>
      </c>
      <c r="J479" s="45"/>
      <c r="K479" s="45"/>
      <c r="L479" s="33"/>
      <c r="M479" s="32"/>
      <c r="N479" s="47"/>
      <c r="O479" s="88"/>
      <c r="P479" s="2" t="str">
        <f t="shared" si="38"/>
        <v/>
      </c>
      <c r="Q479" s="2" t="str">
        <f t="shared" si="39"/>
        <v/>
      </c>
      <c r="R479" s="156" t="str">
        <f t="shared" si="42"/>
        <v/>
      </c>
    </row>
    <row r="480" spans="1:18" x14ac:dyDescent="0.3">
      <c r="A480">
        <f t="shared" si="40"/>
        <v>0</v>
      </c>
      <c r="B480" t="str">
        <f>H480&amp;" "&amp;COUNTIFS($H$3:H480,H480)</f>
        <v xml:space="preserve"> 0</v>
      </c>
      <c r="C480" s="34"/>
      <c r="D480" s="32"/>
      <c r="E480" s="32"/>
      <c r="F480" s="32"/>
      <c r="G480" s="32"/>
      <c r="H480" s="32"/>
      <c r="I480" s="105" t="str">
        <f t="shared" si="41"/>
        <v/>
      </c>
      <c r="J480" s="45"/>
      <c r="K480" s="45"/>
      <c r="L480" s="33"/>
      <c r="M480" s="32"/>
      <c r="N480" s="47"/>
      <c r="O480" s="88"/>
      <c r="P480" s="2" t="str">
        <f t="shared" si="38"/>
        <v/>
      </c>
      <c r="Q480" s="2" t="str">
        <f t="shared" si="39"/>
        <v/>
      </c>
      <c r="R480" s="156" t="str">
        <f t="shared" si="42"/>
        <v/>
      </c>
    </row>
    <row r="481" spans="1:18" x14ac:dyDescent="0.3">
      <c r="A481">
        <f t="shared" si="40"/>
        <v>0</v>
      </c>
      <c r="B481" t="str">
        <f>H481&amp;" "&amp;COUNTIFS($H$3:H481,H481)</f>
        <v xml:space="preserve"> 0</v>
      </c>
      <c r="C481" s="34"/>
      <c r="D481" s="32"/>
      <c r="E481" s="32"/>
      <c r="F481" s="32"/>
      <c r="G481" s="32"/>
      <c r="H481" s="32"/>
      <c r="I481" s="105" t="str">
        <f t="shared" si="41"/>
        <v/>
      </c>
      <c r="J481" s="45"/>
      <c r="K481" s="45"/>
      <c r="L481" s="33"/>
      <c r="M481" s="32"/>
      <c r="N481" s="47"/>
      <c r="O481" s="88"/>
      <c r="P481" s="2" t="str">
        <f t="shared" si="38"/>
        <v/>
      </c>
      <c r="Q481" s="2" t="str">
        <f t="shared" si="39"/>
        <v/>
      </c>
      <c r="R481" s="156" t="str">
        <f t="shared" si="42"/>
        <v/>
      </c>
    </row>
    <row r="482" spans="1:18" x14ac:dyDescent="0.3">
      <c r="A482">
        <f t="shared" si="40"/>
        <v>0</v>
      </c>
      <c r="B482" t="str">
        <f>H482&amp;" "&amp;COUNTIFS($H$3:H482,H482)</f>
        <v xml:space="preserve"> 0</v>
      </c>
      <c r="C482" s="34"/>
      <c r="D482" s="32"/>
      <c r="E482" s="32"/>
      <c r="F482" s="32"/>
      <c r="G482" s="32"/>
      <c r="H482" s="32"/>
      <c r="I482" s="105" t="str">
        <f t="shared" si="41"/>
        <v/>
      </c>
      <c r="J482" s="45"/>
      <c r="K482" s="45"/>
      <c r="L482" s="33"/>
      <c r="M482" s="32"/>
      <c r="N482" s="47"/>
      <c r="O482" s="88"/>
      <c r="P482" s="2" t="str">
        <f t="shared" si="38"/>
        <v/>
      </c>
      <c r="Q482" s="2" t="str">
        <f t="shared" si="39"/>
        <v/>
      </c>
      <c r="R482" s="156" t="str">
        <f t="shared" si="42"/>
        <v/>
      </c>
    </row>
    <row r="483" spans="1:18" x14ac:dyDescent="0.3">
      <c r="A483">
        <f t="shared" si="40"/>
        <v>0</v>
      </c>
      <c r="B483" t="str">
        <f>H483&amp;" "&amp;COUNTIFS($H$3:H483,H483)</f>
        <v xml:space="preserve"> 0</v>
      </c>
      <c r="C483" s="34"/>
      <c r="D483" s="32"/>
      <c r="E483" s="32"/>
      <c r="F483" s="32"/>
      <c r="G483" s="32"/>
      <c r="H483" s="32"/>
      <c r="I483" s="105" t="str">
        <f t="shared" si="41"/>
        <v/>
      </c>
      <c r="J483" s="45"/>
      <c r="K483" s="45"/>
      <c r="L483" s="33"/>
      <c r="M483" s="32"/>
      <c r="N483" s="47"/>
      <c r="O483" s="88"/>
      <c r="P483" s="2" t="str">
        <f t="shared" si="38"/>
        <v/>
      </c>
      <c r="Q483" s="2" t="str">
        <f t="shared" si="39"/>
        <v/>
      </c>
      <c r="R483" s="156" t="str">
        <f t="shared" si="42"/>
        <v/>
      </c>
    </row>
    <row r="484" spans="1:18" x14ac:dyDescent="0.3">
      <c r="A484">
        <f t="shared" si="40"/>
        <v>0</v>
      </c>
      <c r="B484" t="str">
        <f>H484&amp;" "&amp;COUNTIFS($H$3:H484,H484)</f>
        <v xml:space="preserve"> 0</v>
      </c>
      <c r="C484" s="34"/>
      <c r="D484" s="32"/>
      <c r="E484" s="32"/>
      <c r="F484" s="32"/>
      <c r="G484" s="32"/>
      <c r="H484" s="32"/>
      <c r="I484" s="105" t="str">
        <f t="shared" si="41"/>
        <v/>
      </c>
      <c r="J484" s="45"/>
      <c r="K484" s="45"/>
      <c r="L484" s="33"/>
      <c r="M484" s="32"/>
      <c r="N484" s="47"/>
      <c r="O484" s="88"/>
      <c r="P484" s="2" t="str">
        <f t="shared" si="38"/>
        <v/>
      </c>
      <c r="Q484" s="2" t="str">
        <f t="shared" si="39"/>
        <v/>
      </c>
      <c r="R484" s="156" t="str">
        <f t="shared" si="42"/>
        <v/>
      </c>
    </row>
    <row r="485" spans="1:18" x14ac:dyDescent="0.3">
      <c r="A485">
        <f t="shared" si="40"/>
        <v>0</v>
      </c>
      <c r="B485" t="str">
        <f>H485&amp;" "&amp;COUNTIFS($H$3:H485,H485)</f>
        <v xml:space="preserve"> 0</v>
      </c>
      <c r="C485" s="34"/>
      <c r="D485" s="32"/>
      <c r="E485" s="32"/>
      <c r="F485" s="32"/>
      <c r="G485" s="32"/>
      <c r="H485" s="32"/>
      <c r="I485" s="105" t="str">
        <f t="shared" si="41"/>
        <v/>
      </c>
      <c r="J485" s="45"/>
      <c r="K485" s="45"/>
      <c r="L485" s="33"/>
      <c r="M485" s="32"/>
      <c r="N485" s="47"/>
      <c r="O485" s="88"/>
      <c r="P485" s="2" t="str">
        <f t="shared" si="38"/>
        <v/>
      </c>
      <c r="Q485" s="2" t="str">
        <f t="shared" si="39"/>
        <v/>
      </c>
      <c r="R485" s="156" t="str">
        <f t="shared" si="42"/>
        <v/>
      </c>
    </row>
    <row r="486" spans="1:18" x14ac:dyDescent="0.3">
      <c r="A486">
        <f t="shared" si="40"/>
        <v>0</v>
      </c>
      <c r="B486" t="str">
        <f>H486&amp;" "&amp;COUNTIFS($H$3:H486,H486)</f>
        <v xml:space="preserve"> 0</v>
      </c>
      <c r="C486" s="34"/>
      <c r="D486" s="32"/>
      <c r="E486" s="32"/>
      <c r="F486" s="32"/>
      <c r="G486" s="32"/>
      <c r="H486" s="32"/>
      <c r="I486" s="105" t="str">
        <f t="shared" si="41"/>
        <v/>
      </c>
      <c r="J486" s="45"/>
      <c r="K486" s="45"/>
      <c r="L486" s="33"/>
      <c r="M486" s="32"/>
      <c r="N486" s="47"/>
      <c r="O486" s="88"/>
      <c r="P486" s="2" t="str">
        <f t="shared" si="38"/>
        <v/>
      </c>
      <c r="Q486" s="2" t="str">
        <f t="shared" si="39"/>
        <v/>
      </c>
      <c r="R486" s="156" t="str">
        <f t="shared" si="42"/>
        <v/>
      </c>
    </row>
    <row r="487" spans="1:18" x14ac:dyDescent="0.3">
      <c r="A487">
        <f t="shared" si="40"/>
        <v>0</v>
      </c>
      <c r="B487" t="str">
        <f>H487&amp;" "&amp;COUNTIFS($H$3:H487,H487)</f>
        <v xml:space="preserve"> 0</v>
      </c>
      <c r="C487" s="34"/>
      <c r="D487" s="32"/>
      <c r="E487" s="32"/>
      <c r="F487" s="32"/>
      <c r="G487" s="32"/>
      <c r="H487" s="32"/>
      <c r="I487" s="105" t="str">
        <f t="shared" si="41"/>
        <v/>
      </c>
      <c r="J487" s="45"/>
      <c r="K487" s="45"/>
      <c r="L487" s="33"/>
      <c r="M487" s="32"/>
      <c r="N487" s="47"/>
      <c r="O487" s="88"/>
      <c r="P487" s="2" t="str">
        <f t="shared" si="38"/>
        <v/>
      </c>
      <c r="Q487" s="2" t="str">
        <f t="shared" si="39"/>
        <v/>
      </c>
      <c r="R487" s="156" t="str">
        <f t="shared" si="42"/>
        <v/>
      </c>
    </row>
    <row r="488" spans="1:18" x14ac:dyDescent="0.3">
      <c r="A488">
        <f t="shared" si="40"/>
        <v>0</v>
      </c>
      <c r="B488" t="str">
        <f>H488&amp;" "&amp;COUNTIFS($H$3:H488,H488)</f>
        <v xml:space="preserve"> 0</v>
      </c>
      <c r="C488" s="34"/>
      <c r="D488" s="32"/>
      <c r="E488" s="32"/>
      <c r="F488" s="32"/>
      <c r="G488" s="32"/>
      <c r="H488" s="32"/>
      <c r="I488" s="105" t="str">
        <f t="shared" si="41"/>
        <v/>
      </c>
      <c r="J488" s="45"/>
      <c r="K488" s="45"/>
      <c r="L488" s="33"/>
      <c r="M488" s="32"/>
      <c r="N488" s="47"/>
      <c r="O488" s="88"/>
      <c r="P488" s="2" t="str">
        <f t="shared" si="38"/>
        <v/>
      </c>
      <c r="Q488" s="2" t="str">
        <f t="shared" si="39"/>
        <v/>
      </c>
      <c r="R488" s="156" t="str">
        <f t="shared" si="42"/>
        <v/>
      </c>
    </row>
    <row r="489" spans="1:18" x14ac:dyDescent="0.3">
      <c r="A489">
        <f t="shared" si="40"/>
        <v>0</v>
      </c>
      <c r="B489" t="str">
        <f>H489&amp;" "&amp;COUNTIFS($H$3:H489,H489)</f>
        <v xml:space="preserve"> 0</v>
      </c>
      <c r="C489" s="34"/>
      <c r="D489" s="32"/>
      <c r="E489" s="32"/>
      <c r="F489" s="32"/>
      <c r="G489" s="32"/>
      <c r="H489" s="32"/>
      <c r="I489" s="105" t="str">
        <f t="shared" si="41"/>
        <v/>
      </c>
      <c r="J489" s="45"/>
      <c r="K489" s="45"/>
      <c r="L489" s="33"/>
      <c r="M489" s="32"/>
      <c r="N489" s="47"/>
      <c r="O489" s="88"/>
      <c r="P489" s="2" t="str">
        <f t="shared" si="38"/>
        <v/>
      </c>
      <c r="Q489" s="2" t="str">
        <f t="shared" si="39"/>
        <v/>
      </c>
      <c r="R489" s="156" t="str">
        <f t="shared" si="42"/>
        <v/>
      </c>
    </row>
    <row r="490" spans="1:18" x14ac:dyDescent="0.3">
      <c r="A490">
        <f t="shared" si="40"/>
        <v>0</v>
      </c>
      <c r="B490" t="str">
        <f>H490&amp;" "&amp;COUNTIFS($H$3:H490,H490)</f>
        <v xml:space="preserve"> 0</v>
      </c>
      <c r="C490" s="34"/>
      <c r="D490" s="32"/>
      <c r="E490" s="32"/>
      <c r="F490" s="32"/>
      <c r="G490" s="32"/>
      <c r="H490" s="32"/>
      <c r="I490" s="105" t="str">
        <f t="shared" si="41"/>
        <v/>
      </c>
      <c r="J490" s="45"/>
      <c r="K490" s="45"/>
      <c r="L490" s="33"/>
      <c r="M490" s="32"/>
      <c r="N490" s="47"/>
      <c r="O490" s="88"/>
      <c r="P490" s="2" t="str">
        <f t="shared" si="38"/>
        <v/>
      </c>
      <c r="Q490" s="2" t="str">
        <f t="shared" si="39"/>
        <v/>
      </c>
      <c r="R490" s="156" t="str">
        <f t="shared" si="42"/>
        <v/>
      </c>
    </row>
    <row r="491" spans="1:18" x14ac:dyDescent="0.3">
      <c r="A491">
        <f t="shared" si="40"/>
        <v>0</v>
      </c>
      <c r="B491" t="str">
        <f>H491&amp;" "&amp;COUNTIFS($H$3:H491,H491)</f>
        <v xml:space="preserve"> 0</v>
      </c>
      <c r="C491" s="34"/>
      <c r="D491" s="32"/>
      <c r="E491" s="32"/>
      <c r="F491" s="32"/>
      <c r="G491" s="32"/>
      <c r="H491" s="32"/>
      <c r="I491" s="105" t="str">
        <f t="shared" si="41"/>
        <v/>
      </c>
      <c r="J491" s="45"/>
      <c r="K491" s="45"/>
      <c r="L491" s="33"/>
      <c r="M491" s="32"/>
      <c r="N491" s="47"/>
      <c r="O491" s="88"/>
      <c r="P491" s="2" t="str">
        <f t="shared" si="38"/>
        <v/>
      </c>
      <c r="Q491" s="2" t="str">
        <f t="shared" si="39"/>
        <v/>
      </c>
      <c r="R491" s="156" t="str">
        <f t="shared" si="42"/>
        <v/>
      </c>
    </row>
    <row r="492" spans="1:18" x14ac:dyDescent="0.3">
      <c r="A492">
        <f t="shared" si="40"/>
        <v>0</v>
      </c>
      <c r="B492" t="str">
        <f>H492&amp;" "&amp;COUNTIFS($H$3:H492,H492)</f>
        <v xml:space="preserve"> 0</v>
      </c>
      <c r="C492" s="34"/>
      <c r="D492" s="32"/>
      <c r="E492" s="32"/>
      <c r="F492" s="32"/>
      <c r="G492" s="32"/>
      <c r="H492" s="32"/>
      <c r="I492" s="105" t="str">
        <f t="shared" si="41"/>
        <v/>
      </c>
      <c r="J492" s="45"/>
      <c r="K492" s="45"/>
      <c r="L492" s="33"/>
      <c r="M492" s="32"/>
      <c r="N492" s="47"/>
      <c r="O492" s="88"/>
      <c r="P492" s="2" t="str">
        <f t="shared" si="38"/>
        <v/>
      </c>
      <c r="Q492" s="2" t="str">
        <f t="shared" si="39"/>
        <v/>
      </c>
      <c r="R492" s="156" t="str">
        <f t="shared" si="42"/>
        <v/>
      </c>
    </row>
    <row r="493" spans="1:18" x14ac:dyDescent="0.3">
      <c r="A493">
        <f t="shared" si="40"/>
        <v>0</v>
      </c>
      <c r="B493" t="str">
        <f>H493&amp;" "&amp;COUNTIFS($H$3:H493,H493)</f>
        <v xml:space="preserve"> 0</v>
      </c>
      <c r="C493" s="34"/>
      <c r="D493" s="32"/>
      <c r="E493" s="32"/>
      <c r="F493" s="32"/>
      <c r="G493" s="32"/>
      <c r="H493" s="32"/>
      <c r="I493" s="105" t="str">
        <f t="shared" si="41"/>
        <v/>
      </c>
      <c r="J493" s="45"/>
      <c r="K493" s="45"/>
      <c r="L493" s="33"/>
      <c r="M493" s="32"/>
      <c r="N493" s="47"/>
      <c r="O493" s="88"/>
      <c r="P493" s="2" t="str">
        <f t="shared" si="38"/>
        <v/>
      </c>
      <c r="Q493" s="2" t="str">
        <f t="shared" si="39"/>
        <v/>
      </c>
      <c r="R493" s="156" t="str">
        <f t="shared" si="42"/>
        <v/>
      </c>
    </row>
    <row r="494" spans="1:18" x14ac:dyDescent="0.3">
      <c r="A494">
        <f t="shared" si="40"/>
        <v>0</v>
      </c>
      <c r="B494" t="str">
        <f>H494&amp;" "&amp;COUNTIFS($H$3:H494,H494)</f>
        <v xml:space="preserve"> 0</v>
      </c>
      <c r="C494" s="34"/>
      <c r="D494" s="32"/>
      <c r="E494" s="32"/>
      <c r="F494" s="32"/>
      <c r="G494" s="32"/>
      <c r="H494" s="32"/>
      <c r="I494" s="105" t="str">
        <f t="shared" si="41"/>
        <v/>
      </c>
      <c r="J494" s="45"/>
      <c r="K494" s="45"/>
      <c r="L494" s="33"/>
      <c r="M494" s="32"/>
      <c r="N494" s="47"/>
      <c r="O494" s="88"/>
      <c r="P494" s="2" t="str">
        <f t="shared" si="38"/>
        <v/>
      </c>
      <c r="Q494" s="2" t="str">
        <f t="shared" si="39"/>
        <v/>
      </c>
      <c r="R494" s="156" t="str">
        <f t="shared" si="42"/>
        <v/>
      </c>
    </row>
    <row r="495" spans="1:18" x14ac:dyDescent="0.3">
      <c r="A495">
        <f t="shared" si="40"/>
        <v>0</v>
      </c>
      <c r="B495" t="str">
        <f>H495&amp;" "&amp;COUNTIFS($H$3:H495,H495)</f>
        <v xml:space="preserve"> 0</v>
      </c>
      <c r="C495" s="34"/>
      <c r="D495" s="32"/>
      <c r="E495" s="32"/>
      <c r="F495" s="32"/>
      <c r="G495" s="32"/>
      <c r="H495" s="32"/>
      <c r="I495" s="105" t="str">
        <f t="shared" si="41"/>
        <v/>
      </c>
      <c r="J495" s="45"/>
      <c r="K495" s="45"/>
      <c r="L495" s="33"/>
      <c r="M495" s="32"/>
      <c r="N495" s="47"/>
      <c r="O495" s="88"/>
      <c r="P495" s="2" t="str">
        <f t="shared" si="38"/>
        <v/>
      </c>
      <c r="Q495" s="2" t="str">
        <f t="shared" si="39"/>
        <v/>
      </c>
      <c r="R495" s="156" t="str">
        <f t="shared" si="42"/>
        <v/>
      </c>
    </row>
    <row r="496" spans="1:18" x14ac:dyDescent="0.3">
      <c r="A496">
        <f t="shared" si="40"/>
        <v>0</v>
      </c>
      <c r="B496" t="str">
        <f>H496&amp;" "&amp;COUNTIFS($H$3:H496,H496)</f>
        <v xml:space="preserve"> 0</v>
      </c>
      <c r="C496" s="34"/>
      <c r="D496" s="32"/>
      <c r="E496" s="32"/>
      <c r="F496" s="32"/>
      <c r="G496" s="32"/>
      <c r="H496" s="32"/>
      <c r="I496" s="105" t="str">
        <f t="shared" si="41"/>
        <v/>
      </c>
      <c r="J496" s="45"/>
      <c r="K496" s="45"/>
      <c r="L496" s="33"/>
      <c r="M496" s="32"/>
      <c r="N496" s="47"/>
      <c r="O496" s="88"/>
      <c r="P496" s="2" t="str">
        <f t="shared" si="38"/>
        <v/>
      </c>
      <c r="Q496" s="2" t="str">
        <f t="shared" si="39"/>
        <v/>
      </c>
      <c r="R496" s="156" t="str">
        <f t="shared" si="42"/>
        <v/>
      </c>
    </row>
    <row r="497" spans="1:18" x14ac:dyDescent="0.3">
      <c r="A497">
        <f t="shared" si="40"/>
        <v>0</v>
      </c>
      <c r="B497" t="str">
        <f>H497&amp;" "&amp;COUNTIFS($H$3:H497,H497)</f>
        <v xml:space="preserve"> 0</v>
      </c>
      <c r="C497" s="34"/>
      <c r="D497" s="32"/>
      <c r="E497" s="32"/>
      <c r="F497" s="32"/>
      <c r="G497" s="32"/>
      <c r="H497" s="32"/>
      <c r="I497" s="105" t="str">
        <f t="shared" si="41"/>
        <v/>
      </c>
      <c r="J497" s="45"/>
      <c r="K497" s="45"/>
      <c r="L497" s="33"/>
      <c r="M497" s="32"/>
      <c r="N497" s="47"/>
      <c r="O497" s="88"/>
      <c r="P497" s="2" t="str">
        <f t="shared" si="38"/>
        <v/>
      </c>
      <c r="Q497" s="2" t="str">
        <f t="shared" si="39"/>
        <v/>
      </c>
      <c r="R497" s="156" t="str">
        <f t="shared" si="42"/>
        <v/>
      </c>
    </row>
    <row r="498" spans="1:18" x14ac:dyDescent="0.3">
      <c r="A498">
        <f t="shared" si="40"/>
        <v>0</v>
      </c>
      <c r="B498" t="str">
        <f>H498&amp;" "&amp;COUNTIFS($H$3:H498,H498)</f>
        <v xml:space="preserve"> 0</v>
      </c>
      <c r="C498" s="34"/>
      <c r="D498" s="32"/>
      <c r="E498" s="32"/>
      <c r="F498" s="32"/>
      <c r="G498" s="32"/>
      <c r="H498" s="32"/>
      <c r="I498" s="105" t="str">
        <f t="shared" si="41"/>
        <v/>
      </c>
      <c r="J498" s="45"/>
      <c r="K498" s="45"/>
      <c r="L498" s="33"/>
      <c r="M498" s="32"/>
      <c r="N498" s="47"/>
      <c r="O498" s="88"/>
      <c r="P498" s="2" t="str">
        <f t="shared" si="38"/>
        <v/>
      </c>
      <c r="Q498" s="2" t="str">
        <f t="shared" si="39"/>
        <v/>
      </c>
      <c r="R498" s="156" t="str">
        <f t="shared" si="42"/>
        <v/>
      </c>
    </row>
    <row r="499" spans="1:18" x14ac:dyDescent="0.3">
      <c r="A499">
        <f t="shared" si="40"/>
        <v>0</v>
      </c>
      <c r="B499" t="str">
        <f>H499&amp;" "&amp;COUNTIFS($H$3:H499,H499)</f>
        <v xml:space="preserve"> 0</v>
      </c>
      <c r="C499" s="34"/>
      <c r="D499" s="32"/>
      <c r="E499" s="32"/>
      <c r="F499" s="32"/>
      <c r="G499" s="32"/>
      <c r="H499" s="32"/>
      <c r="I499" s="105" t="str">
        <f t="shared" si="41"/>
        <v/>
      </c>
      <c r="J499" s="45"/>
      <c r="K499" s="45"/>
      <c r="L499" s="33"/>
      <c r="M499" s="32"/>
      <c r="N499" s="47"/>
      <c r="O499" s="88"/>
      <c r="P499" s="2" t="str">
        <f t="shared" si="38"/>
        <v/>
      </c>
      <c r="Q499" s="2" t="str">
        <f t="shared" si="39"/>
        <v/>
      </c>
      <c r="R499" s="156" t="str">
        <f t="shared" si="42"/>
        <v/>
      </c>
    </row>
    <row r="500" spans="1:18" ht="15" thickBot="1" x14ac:dyDescent="0.35">
      <c r="A500" t="str">
        <f t="shared" si="40"/>
        <v>END</v>
      </c>
      <c r="B500" t="str">
        <f>H500&amp;" "&amp;COUNTIFS($H$3:H500,H500)</f>
        <v>END 1</v>
      </c>
      <c r="C500" s="89" t="s">
        <v>589</v>
      </c>
      <c r="D500" s="89" t="s">
        <v>589</v>
      </c>
      <c r="E500" s="89" t="s">
        <v>589</v>
      </c>
      <c r="F500" s="89" t="s">
        <v>589</v>
      </c>
      <c r="G500" s="89" t="s">
        <v>589</v>
      </c>
      <c r="H500" s="89" t="s">
        <v>589</v>
      </c>
      <c r="I500" s="89" t="s">
        <v>589</v>
      </c>
      <c r="J500" s="89" t="s">
        <v>589</v>
      </c>
      <c r="K500" s="89" t="s">
        <v>589</v>
      </c>
      <c r="L500" s="89" t="s">
        <v>589</v>
      </c>
      <c r="M500" s="89" t="s">
        <v>589</v>
      </c>
      <c r="N500" s="89" t="s">
        <v>589</v>
      </c>
      <c r="O500" s="89" t="s">
        <v>589</v>
      </c>
      <c r="P500" s="2" t="str">
        <f t="shared" si="38"/>
        <v>end</v>
      </c>
      <c r="Q500" s="2" t="str">
        <f t="shared" si="39"/>
        <v>end</v>
      </c>
      <c r="R500" s="2" t="s">
        <v>587</v>
      </c>
    </row>
    <row r="501" spans="1:18" ht="15" thickTop="1" x14ac:dyDescent="0.3"/>
  </sheetData>
  <dataValidations count="1">
    <dataValidation type="list" allowBlank="1" showInputMessage="1" showErrorMessage="1" sqref="O3:O500" xr:uid="{00000000-0002-0000-0200-000000000000}">
      <formula1>NAMA_TOKO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91"/>
  <sheetViews>
    <sheetView showGridLines="0" zoomScale="73" zoomScaleNormal="175" workbookViewId="0">
      <pane xSplit="3" ySplit="3" topLeftCell="D4" activePane="bottomRight" state="frozen"/>
      <selection activeCell="P44" sqref="P44"/>
      <selection pane="topRight" activeCell="P44" sqref="P44"/>
      <selection pane="bottomLeft" activeCell="P44" sqref="P44"/>
      <selection pane="bottomRight" activeCell="J16" sqref="J16"/>
    </sheetView>
  </sheetViews>
  <sheetFormatPr defaultRowHeight="14.4" x14ac:dyDescent="0.3"/>
  <cols>
    <col min="1" max="1" width="67.109375" hidden="1" customWidth="1"/>
    <col min="2" max="4" width="47.33203125" customWidth="1"/>
    <col min="5" max="6" width="26.109375" customWidth="1"/>
    <col min="7" max="7" width="16.6640625" bestFit="1" customWidth="1"/>
    <col min="8" max="8" width="33.5546875" hidden="1" customWidth="1"/>
    <col min="9" max="9" width="16.88671875" bestFit="1" customWidth="1"/>
    <col min="10" max="10" width="23.44140625" bestFit="1" customWidth="1"/>
    <col min="11" max="11" width="9.33203125" bestFit="1" customWidth="1"/>
    <col min="12" max="12" width="10.5546875" customWidth="1"/>
    <col min="13" max="13" width="17.109375" style="10" bestFit="1" customWidth="1"/>
    <col min="14" max="14" width="19.44140625" style="10" bestFit="1" customWidth="1"/>
  </cols>
  <sheetData>
    <row r="1" spans="1:14" ht="45.6" customHeight="1" x14ac:dyDescent="0.3"/>
    <row r="2" spans="1:14" s="20" customFormat="1" ht="39.15" customHeight="1" x14ac:dyDescent="0.3">
      <c r="B2" s="40" t="s">
        <v>622</v>
      </c>
      <c r="C2" s="112" t="s">
        <v>630</v>
      </c>
      <c r="D2" s="112" t="s">
        <v>626</v>
      </c>
      <c r="E2" s="40" t="s">
        <v>538</v>
      </c>
      <c r="F2" s="40" t="s">
        <v>605</v>
      </c>
      <c r="G2" s="40" t="s">
        <v>555</v>
      </c>
      <c r="H2" s="112" t="s">
        <v>604</v>
      </c>
      <c r="I2" s="40" t="s">
        <v>537</v>
      </c>
      <c r="J2" s="40" t="s">
        <v>554</v>
      </c>
      <c r="K2" s="40" t="s">
        <v>532</v>
      </c>
      <c r="L2" s="40" t="s">
        <v>530</v>
      </c>
      <c r="M2" s="41" t="s">
        <v>531</v>
      </c>
      <c r="N2" s="41" t="s">
        <v>556</v>
      </c>
    </row>
    <row r="3" spans="1:14" s="2" customFormat="1" x14ac:dyDescent="0.3">
      <c r="B3" s="18">
        <v>1</v>
      </c>
      <c r="C3" s="18">
        <v>2</v>
      </c>
      <c r="D3" s="18">
        <v>3</v>
      </c>
      <c r="E3" s="18">
        <v>4</v>
      </c>
      <c r="F3" s="155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8</v>
      </c>
      <c r="M3" s="18">
        <v>11</v>
      </c>
      <c r="N3" s="18">
        <v>12</v>
      </c>
    </row>
    <row r="4" spans="1:14" ht="18" x14ac:dyDescent="0.35">
      <c r="A4" t="str">
        <f>IFERROR(B4&amp;" "&amp;COUNTIFS($B$4:B4,B4),"")</f>
        <v>Transport rapat rutin KKKS 29 Mei 1</v>
      </c>
      <c r="B4" s="169" t="s">
        <v>698</v>
      </c>
      <c r="C4" s="162" t="s">
        <v>695</v>
      </c>
      <c r="D4" s="162" t="s">
        <v>697</v>
      </c>
      <c r="E4" s="162" t="s">
        <v>713</v>
      </c>
      <c r="F4" s="163" t="str">
        <f t="shared" ref="F4:F67" si="0">IFERROR(VLOOKUP(E4,data_guru,3,FALSE),"")</f>
        <v>53-004</v>
      </c>
      <c r="G4" s="162" t="s">
        <v>696</v>
      </c>
      <c r="H4" s="162"/>
      <c r="I4" s="162" t="s">
        <v>732</v>
      </c>
      <c r="J4" s="164">
        <v>45441</v>
      </c>
      <c r="K4" s="165">
        <f>IFERROR(VLOOKUP(B4,data_kas3,3,FALSE),"")</f>
        <v>1</v>
      </c>
      <c r="L4" s="165" t="str">
        <f t="shared" ref="L4:L67" si="1">IFERROR(VLOOKUP(B4,data_kas3,4,FALSE),"")</f>
        <v>orang/kegiatan</v>
      </c>
      <c r="M4" s="166">
        <f t="shared" ref="M4:M32" si="2">IFERROR(VLOOKUP(B4,data_kas3,5,FALSE),"")</f>
        <v>200000</v>
      </c>
      <c r="N4" s="167">
        <f t="shared" ref="N4:N32" si="3">IF(K4="","",K4*M4)</f>
        <v>200000</v>
      </c>
    </row>
    <row r="5" spans="1:14" ht="18" x14ac:dyDescent="0.35">
      <c r="A5" t="str">
        <f>IFERROR(B5&amp;" "&amp;COUNTIFS($B$4:B5,B5),"")</f>
        <v>Transport rapat rutin KKKS 1</v>
      </c>
      <c r="B5" s="169" t="s">
        <v>692</v>
      </c>
      <c r="C5" s="162" t="s">
        <v>699</v>
      </c>
      <c r="D5" s="162" t="s">
        <v>697</v>
      </c>
      <c r="E5" s="162" t="s">
        <v>718</v>
      </c>
      <c r="F5" s="163">
        <f t="shared" si="0"/>
        <v>0</v>
      </c>
      <c r="G5" s="162" t="s">
        <v>696</v>
      </c>
      <c r="H5" s="162"/>
      <c r="I5" s="162" t="s">
        <v>732</v>
      </c>
      <c r="J5" s="164">
        <v>45420</v>
      </c>
      <c r="K5" s="165">
        <f>IFERROR(VLOOKUP(B5,data_kas3,3,FALSE),"")</f>
        <v>1</v>
      </c>
      <c r="L5" s="165" t="str">
        <f t="shared" si="1"/>
        <v>orang/kegiatan</v>
      </c>
      <c r="M5" s="166">
        <f t="shared" si="2"/>
        <v>200000</v>
      </c>
      <c r="N5" s="167">
        <f t="shared" si="3"/>
        <v>200000</v>
      </c>
    </row>
    <row r="6" spans="1:14" ht="18" x14ac:dyDescent="0.35">
      <c r="A6" t="str">
        <f>IFERROR(B6&amp;" "&amp;COUNTIFS($B$4:B6,B6),"")</f>
        <v>Transport kegiatan Kombel KKG Gugus 2 Sungai Dangin bulan Januari 1</v>
      </c>
      <c r="B6" s="169" t="s">
        <v>685</v>
      </c>
      <c r="C6" s="162" t="s">
        <v>703</v>
      </c>
      <c r="D6" s="162" t="s">
        <v>710</v>
      </c>
      <c r="E6" s="162" t="s">
        <v>712</v>
      </c>
      <c r="F6" s="163" t="str">
        <f t="shared" si="0"/>
        <v>012611</v>
      </c>
      <c r="G6" s="162" t="s">
        <v>560</v>
      </c>
      <c r="H6" s="162"/>
      <c r="I6" s="162" t="s">
        <v>733</v>
      </c>
      <c r="J6" s="164">
        <v>45311</v>
      </c>
      <c r="K6" s="165">
        <v>1</v>
      </c>
      <c r="L6" s="165" t="str">
        <f t="shared" si="1"/>
        <v>orang/kegiatan</v>
      </c>
      <c r="M6" s="166">
        <f t="shared" si="2"/>
        <v>150000</v>
      </c>
      <c r="N6" s="167">
        <f>M6*K6</f>
        <v>150000</v>
      </c>
    </row>
    <row r="7" spans="1:14" ht="18" x14ac:dyDescent="0.35">
      <c r="A7" t="str">
        <f>IFERROR(B7&amp;" "&amp;COUNTIFS($B$4:B7,B7),"")</f>
        <v>Transport kegiatan Kombel KKG Gugus 2 Sungai Dangin bulan Januari 2</v>
      </c>
      <c r="B7" s="169" t="s">
        <v>685</v>
      </c>
      <c r="C7" s="162" t="s">
        <v>704</v>
      </c>
      <c r="D7" s="162" t="s">
        <v>710</v>
      </c>
      <c r="E7" s="162" t="s">
        <v>712</v>
      </c>
      <c r="F7" s="163" t="str">
        <f t="shared" si="0"/>
        <v>012611</v>
      </c>
      <c r="G7" s="162" t="s">
        <v>696</v>
      </c>
      <c r="H7" s="162"/>
      <c r="I7" s="162" t="s">
        <v>733</v>
      </c>
      <c r="J7" s="164">
        <v>45311</v>
      </c>
      <c r="K7" s="165">
        <v>1</v>
      </c>
      <c r="L7" s="165" t="str">
        <f t="shared" si="1"/>
        <v>orang/kegiatan</v>
      </c>
      <c r="M7" s="166">
        <f t="shared" si="2"/>
        <v>150000</v>
      </c>
      <c r="N7" s="167">
        <f t="shared" ref="N7:N12" si="4">M7*K7</f>
        <v>150000</v>
      </c>
    </row>
    <row r="8" spans="1:14" ht="18" x14ac:dyDescent="0.35">
      <c r="A8" t="str">
        <f>IFERROR(B8&amp;" "&amp;COUNTIFS($B$4:B8,B8),"")</f>
        <v>Transport kegiatan Kombel KKG Gugus 2 Sungai Dangin bulan Januari 3</v>
      </c>
      <c r="B8" s="169" t="s">
        <v>685</v>
      </c>
      <c r="C8" s="162" t="s">
        <v>705</v>
      </c>
      <c r="D8" s="162" t="s">
        <v>710</v>
      </c>
      <c r="E8" s="162" t="s">
        <v>713</v>
      </c>
      <c r="F8" s="163" t="str">
        <f t="shared" si="0"/>
        <v>53-004</v>
      </c>
      <c r="G8" s="162" t="s">
        <v>696</v>
      </c>
      <c r="H8" s="162"/>
      <c r="I8" s="162" t="s">
        <v>733</v>
      </c>
      <c r="J8" s="164">
        <v>45311</v>
      </c>
      <c r="K8" s="165">
        <v>1</v>
      </c>
      <c r="L8" s="165" t="str">
        <f t="shared" si="1"/>
        <v>orang/kegiatan</v>
      </c>
      <c r="M8" s="166">
        <f t="shared" si="2"/>
        <v>150000</v>
      </c>
      <c r="N8" s="167">
        <f t="shared" si="4"/>
        <v>150000</v>
      </c>
    </row>
    <row r="9" spans="1:14" ht="18" x14ac:dyDescent="0.35">
      <c r="A9" t="str">
        <f>IFERROR(B9&amp;" "&amp;COUNTIFS($B$4:B9,B9),"")</f>
        <v>Transport kegiatan Kombel KKG Gugus 2 Sungai Dangin bulan Januari 4</v>
      </c>
      <c r="B9" s="169" t="s">
        <v>685</v>
      </c>
      <c r="C9" s="162" t="s">
        <v>706</v>
      </c>
      <c r="D9" s="162" t="s">
        <v>710</v>
      </c>
      <c r="E9" s="162" t="s">
        <v>718</v>
      </c>
      <c r="F9" s="163">
        <f t="shared" si="0"/>
        <v>0</v>
      </c>
      <c r="G9" s="162" t="s">
        <v>696</v>
      </c>
      <c r="H9" s="162"/>
      <c r="I9" s="162" t="s">
        <v>733</v>
      </c>
      <c r="J9" s="164">
        <v>45311</v>
      </c>
      <c r="K9" s="165">
        <v>1</v>
      </c>
      <c r="L9" s="165" t="str">
        <f t="shared" si="1"/>
        <v>orang/kegiatan</v>
      </c>
      <c r="M9" s="166">
        <f t="shared" si="2"/>
        <v>150000</v>
      </c>
      <c r="N9" s="167">
        <f t="shared" si="4"/>
        <v>150000</v>
      </c>
    </row>
    <row r="10" spans="1:14" ht="18" x14ac:dyDescent="0.35">
      <c r="A10" t="str">
        <f>IFERROR(B10&amp;" "&amp;COUNTIFS($B$4:B10,B10),"")</f>
        <v>Transport kegiatan Kombel KKG Gugus 2 Sungai Dangin bulan Januari 5</v>
      </c>
      <c r="B10" s="169" t="s">
        <v>685</v>
      </c>
      <c r="C10" s="162" t="s">
        <v>707</v>
      </c>
      <c r="D10" s="162" t="s">
        <v>710</v>
      </c>
      <c r="E10" s="162" t="s">
        <v>719</v>
      </c>
      <c r="F10" s="163">
        <f t="shared" si="0"/>
        <v>0</v>
      </c>
      <c r="G10" s="162" t="s">
        <v>696</v>
      </c>
      <c r="H10" s="162"/>
      <c r="I10" s="162" t="s">
        <v>733</v>
      </c>
      <c r="J10" s="164">
        <v>45311</v>
      </c>
      <c r="K10" s="165">
        <v>1</v>
      </c>
      <c r="L10" s="165" t="str">
        <f t="shared" si="1"/>
        <v>orang/kegiatan</v>
      </c>
      <c r="M10" s="166">
        <f t="shared" si="2"/>
        <v>150000</v>
      </c>
      <c r="N10" s="167">
        <f t="shared" si="4"/>
        <v>150000</v>
      </c>
    </row>
    <row r="11" spans="1:14" ht="18" x14ac:dyDescent="0.35">
      <c r="A11" t="str">
        <f>IFERROR(B11&amp;" "&amp;COUNTIFS($B$4:B11,B11),"")</f>
        <v>Transport kegiatan Kombel KKG Gugus 2 Sungai Dangin bulan Januari 6</v>
      </c>
      <c r="B11" s="169" t="s">
        <v>685</v>
      </c>
      <c r="C11" s="162" t="s">
        <v>708</v>
      </c>
      <c r="D11" s="162" t="s">
        <v>710</v>
      </c>
      <c r="E11" s="162" t="s">
        <v>720</v>
      </c>
      <c r="F11" s="163">
        <f t="shared" si="0"/>
        <v>0</v>
      </c>
      <c r="G11" s="162" t="s">
        <v>696</v>
      </c>
      <c r="H11" s="162"/>
      <c r="I11" s="162" t="s">
        <v>733</v>
      </c>
      <c r="J11" s="164">
        <v>45311</v>
      </c>
      <c r="K11" s="165">
        <v>1</v>
      </c>
      <c r="L11" s="165" t="str">
        <f t="shared" si="1"/>
        <v>orang/kegiatan</v>
      </c>
      <c r="M11" s="166">
        <f t="shared" si="2"/>
        <v>150000</v>
      </c>
      <c r="N11" s="167">
        <f t="shared" si="4"/>
        <v>150000</v>
      </c>
    </row>
    <row r="12" spans="1:14" ht="18" x14ac:dyDescent="0.35">
      <c r="A12" t="str">
        <f>IFERROR(B12&amp;" "&amp;COUNTIFS($B$4:B12,B12),"")</f>
        <v>Transport kegiatan Kombel KKG Gugus 2 Sungai Dangin bulan Januari 7</v>
      </c>
      <c r="B12" s="169" t="s">
        <v>685</v>
      </c>
      <c r="C12" s="162" t="s">
        <v>709</v>
      </c>
      <c r="D12" s="162" t="s">
        <v>710</v>
      </c>
      <c r="E12" s="162" t="s">
        <v>718</v>
      </c>
      <c r="F12" s="163">
        <f t="shared" si="0"/>
        <v>0</v>
      </c>
      <c r="G12" s="162" t="s">
        <v>696</v>
      </c>
      <c r="H12" s="162"/>
      <c r="I12" s="162" t="s">
        <v>733</v>
      </c>
      <c r="J12" s="164">
        <v>45311</v>
      </c>
      <c r="K12" s="165">
        <v>1</v>
      </c>
      <c r="L12" s="165" t="str">
        <f t="shared" si="1"/>
        <v>orang/kegiatan</v>
      </c>
      <c r="M12" s="166">
        <f t="shared" si="2"/>
        <v>150000</v>
      </c>
      <c r="N12" s="167">
        <f t="shared" si="4"/>
        <v>150000</v>
      </c>
    </row>
    <row r="13" spans="1:14" ht="18" x14ac:dyDescent="0.35">
      <c r="A13" t="str">
        <f>IFERROR(B13&amp;" "&amp;COUNTIFS($B$4:B13,B13),"")</f>
        <v xml:space="preserve"> 0</v>
      </c>
      <c r="B13" s="169"/>
      <c r="C13" s="162"/>
      <c r="D13" s="162"/>
      <c r="E13" s="162"/>
      <c r="F13" s="163" t="str">
        <f t="shared" si="0"/>
        <v/>
      </c>
      <c r="G13" s="162"/>
      <c r="H13" s="162"/>
      <c r="I13" s="162"/>
      <c r="J13" s="164" t="str">
        <f t="shared" ref="J13:J32" si="5">IFERROR(VLOOKUP(B13,data_kas3,12,FALSE),"")</f>
        <v/>
      </c>
      <c r="K13" s="165">
        <v>1</v>
      </c>
      <c r="L13" s="165" t="str">
        <f t="shared" si="1"/>
        <v/>
      </c>
      <c r="M13" s="166" t="str">
        <f t="shared" si="2"/>
        <v/>
      </c>
      <c r="N13" s="167" t="e">
        <f t="shared" si="3"/>
        <v>#VALUE!</v>
      </c>
    </row>
    <row r="14" spans="1:14" ht="18" x14ac:dyDescent="0.35">
      <c r="A14" t="str">
        <f>IFERROR(B14&amp;" "&amp;COUNTIFS($B$4:B14,B14),"")</f>
        <v xml:space="preserve"> 0</v>
      </c>
      <c r="B14" s="169"/>
      <c r="C14" s="162"/>
      <c r="D14" s="162"/>
      <c r="E14" s="162"/>
      <c r="F14" s="163" t="str">
        <f t="shared" si="0"/>
        <v/>
      </c>
      <c r="G14" s="162"/>
      <c r="H14" s="162"/>
      <c r="I14" s="162"/>
      <c r="J14" s="164" t="str">
        <f t="shared" si="5"/>
        <v/>
      </c>
      <c r="K14" s="165">
        <v>1</v>
      </c>
      <c r="L14" s="165" t="str">
        <f t="shared" si="1"/>
        <v/>
      </c>
      <c r="M14" s="166" t="str">
        <f t="shared" si="2"/>
        <v/>
      </c>
      <c r="N14" s="167" t="e">
        <f t="shared" si="3"/>
        <v>#VALUE!</v>
      </c>
    </row>
    <row r="15" spans="1:14" ht="18" x14ac:dyDescent="0.35">
      <c r="A15" t="str">
        <f>IFERROR(B15&amp;" "&amp;COUNTIFS($B$4:B15,B15),"")</f>
        <v xml:space="preserve"> 0</v>
      </c>
      <c r="B15" s="169"/>
      <c r="C15" s="162"/>
      <c r="D15" s="162"/>
      <c r="E15" s="162"/>
      <c r="F15" s="163" t="str">
        <f t="shared" si="0"/>
        <v/>
      </c>
      <c r="G15" s="162"/>
      <c r="H15" s="162"/>
      <c r="I15" s="162"/>
      <c r="J15" s="164" t="str">
        <f t="shared" si="5"/>
        <v/>
      </c>
      <c r="K15" s="165">
        <v>1</v>
      </c>
      <c r="L15" s="165" t="str">
        <f t="shared" si="1"/>
        <v/>
      </c>
      <c r="M15" s="166" t="str">
        <f t="shared" si="2"/>
        <v/>
      </c>
      <c r="N15" s="167" t="e">
        <f t="shared" si="3"/>
        <v>#VALUE!</v>
      </c>
    </row>
    <row r="16" spans="1:14" ht="18" x14ac:dyDescent="0.35">
      <c r="A16" t="str">
        <f>IFERROR(B16&amp;" "&amp;COUNTIFS($B$4:B16,B16),"")</f>
        <v xml:space="preserve"> 0</v>
      </c>
      <c r="B16" s="169"/>
      <c r="C16" s="162"/>
      <c r="D16" s="162"/>
      <c r="E16" s="162"/>
      <c r="F16" s="163" t="str">
        <f t="shared" si="0"/>
        <v/>
      </c>
      <c r="G16" s="162"/>
      <c r="H16" s="162"/>
      <c r="I16" s="162"/>
      <c r="J16" s="164" t="str">
        <f t="shared" si="5"/>
        <v/>
      </c>
      <c r="K16" s="165">
        <v>3</v>
      </c>
      <c r="L16" s="165" t="str">
        <f t="shared" si="1"/>
        <v/>
      </c>
      <c r="M16" s="166" t="str">
        <f t="shared" si="2"/>
        <v/>
      </c>
      <c r="N16" s="167" t="e">
        <f t="shared" si="3"/>
        <v>#VALUE!</v>
      </c>
    </row>
    <row r="17" spans="1:14" ht="18" x14ac:dyDescent="0.35">
      <c r="A17" t="str">
        <f>IFERROR(B17&amp;" "&amp;COUNTIFS($B$4:B17,B17),"")</f>
        <v xml:space="preserve"> 0</v>
      </c>
      <c r="B17" s="169"/>
      <c r="C17" s="162"/>
      <c r="D17" s="162"/>
      <c r="E17" s="162"/>
      <c r="F17" s="163" t="str">
        <f t="shared" si="0"/>
        <v/>
      </c>
      <c r="G17" s="162"/>
      <c r="H17" s="162"/>
      <c r="I17" s="162"/>
      <c r="J17" s="164" t="str">
        <f t="shared" si="5"/>
        <v/>
      </c>
      <c r="K17" s="165" t="str">
        <f t="shared" ref="K17:K32" si="6">IFERROR(VLOOKUP(B17,data_kas3,3,FALSE),"")</f>
        <v/>
      </c>
      <c r="L17" s="165" t="str">
        <f t="shared" si="1"/>
        <v/>
      </c>
      <c r="M17" s="166" t="str">
        <f t="shared" si="2"/>
        <v/>
      </c>
      <c r="N17" s="167" t="str">
        <f t="shared" si="3"/>
        <v/>
      </c>
    </row>
    <row r="18" spans="1:14" ht="18" x14ac:dyDescent="0.35">
      <c r="A18" t="str">
        <f>IFERROR(B18&amp;" "&amp;COUNTIFS($B$4:B18,B18),"")</f>
        <v xml:space="preserve"> 0</v>
      </c>
      <c r="B18" s="169"/>
      <c r="C18" s="162"/>
      <c r="D18" s="162"/>
      <c r="E18" s="162"/>
      <c r="F18" s="163" t="str">
        <f t="shared" si="0"/>
        <v/>
      </c>
      <c r="G18" s="162"/>
      <c r="H18" s="162"/>
      <c r="I18" s="162"/>
      <c r="J18" s="164" t="str">
        <f t="shared" si="5"/>
        <v/>
      </c>
      <c r="K18" s="165" t="str">
        <f t="shared" si="6"/>
        <v/>
      </c>
      <c r="L18" s="165" t="str">
        <f t="shared" si="1"/>
        <v/>
      </c>
      <c r="M18" s="166" t="str">
        <f t="shared" si="2"/>
        <v/>
      </c>
      <c r="N18" s="167" t="str">
        <f t="shared" si="3"/>
        <v/>
      </c>
    </row>
    <row r="19" spans="1:14" ht="18" x14ac:dyDescent="0.35">
      <c r="A19" t="str">
        <f>IFERROR(B19&amp;" "&amp;COUNTIFS($B$4:B19,B19),"")</f>
        <v xml:space="preserve"> 0</v>
      </c>
      <c r="B19" s="169"/>
      <c r="C19" s="162"/>
      <c r="D19" s="162"/>
      <c r="E19" s="162"/>
      <c r="F19" s="163" t="str">
        <f t="shared" si="0"/>
        <v/>
      </c>
      <c r="G19" s="162"/>
      <c r="H19" s="162" t="s">
        <v>635</v>
      </c>
      <c r="I19" s="162"/>
      <c r="J19" s="164" t="str">
        <f t="shared" si="5"/>
        <v/>
      </c>
      <c r="K19" s="165" t="str">
        <f t="shared" si="6"/>
        <v/>
      </c>
      <c r="L19" s="165"/>
      <c r="M19" s="166" t="str">
        <f t="shared" si="2"/>
        <v/>
      </c>
      <c r="N19" s="167" t="str">
        <f t="shared" si="3"/>
        <v/>
      </c>
    </row>
    <row r="20" spans="1:14" ht="18" x14ac:dyDescent="0.35">
      <c r="A20" t="str">
        <f>IFERROR(B20&amp;" "&amp;COUNTIFS($B$4:B20,B20),"")</f>
        <v xml:space="preserve"> 0</v>
      </c>
      <c r="B20" s="169"/>
      <c r="C20" s="162"/>
      <c r="D20" s="162"/>
      <c r="E20" s="162"/>
      <c r="F20" s="163" t="str">
        <f t="shared" si="0"/>
        <v/>
      </c>
      <c r="G20" s="162"/>
      <c r="H20" s="162" t="s">
        <v>635</v>
      </c>
      <c r="I20" s="162"/>
      <c r="J20" s="164" t="str">
        <f t="shared" si="5"/>
        <v/>
      </c>
      <c r="K20" s="165" t="str">
        <f t="shared" si="6"/>
        <v/>
      </c>
      <c r="L20" s="165"/>
      <c r="M20" s="166" t="str">
        <f t="shared" si="2"/>
        <v/>
      </c>
      <c r="N20" s="167" t="str">
        <f t="shared" si="3"/>
        <v/>
      </c>
    </row>
    <row r="21" spans="1:14" ht="18" x14ac:dyDescent="0.35">
      <c r="A21" t="str">
        <f>IFERROR(B21&amp;" "&amp;COUNTIFS($B$4:B21,B21),"")</f>
        <v xml:space="preserve"> 0</v>
      </c>
      <c r="B21" s="169"/>
      <c r="C21" s="162"/>
      <c r="D21" s="162"/>
      <c r="E21" s="162"/>
      <c r="F21" s="163" t="str">
        <f t="shared" si="0"/>
        <v/>
      </c>
      <c r="G21" s="162"/>
      <c r="H21" s="162" t="s">
        <v>636</v>
      </c>
      <c r="I21" s="162"/>
      <c r="J21" s="164" t="str">
        <f t="shared" si="5"/>
        <v/>
      </c>
      <c r="K21" s="165" t="str">
        <f t="shared" si="6"/>
        <v/>
      </c>
      <c r="L21" s="165"/>
      <c r="M21" s="166" t="str">
        <f t="shared" si="2"/>
        <v/>
      </c>
      <c r="N21" s="167" t="str">
        <f t="shared" si="3"/>
        <v/>
      </c>
    </row>
    <row r="22" spans="1:14" ht="18" x14ac:dyDescent="0.35">
      <c r="A22" t="str">
        <f>IFERROR(B22&amp;" "&amp;COUNTIFS($B$4:B22,B22),"")</f>
        <v xml:space="preserve"> 0</v>
      </c>
      <c r="B22" s="169"/>
      <c r="C22" s="162"/>
      <c r="D22" s="162"/>
      <c r="E22" s="162"/>
      <c r="F22" s="163" t="str">
        <f t="shared" si="0"/>
        <v/>
      </c>
      <c r="G22" s="162"/>
      <c r="H22" s="162" t="s">
        <v>636</v>
      </c>
      <c r="I22" s="162"/>
      <c r="J22" s="164" t="str">
        <f t="shared" si="5"/>
        <v/>
      </c>
      <c r="K22" s="165" t="str">
        <f t="shared" si="6"/>
        <v/>
      </c>
      <c r="L22" s="165"/>
      <c r="M22" s="166" t="str">
        <f t="shared" si="2"/>
        <v/>
      </c>
      <c r="N22" s="167" t="str">
        <f t="shared" si="3"/>
        <v/>
      </c>
    </row>
    <row r="23" spans="1:14" ht="18" x14ac:dyDescent="0.35">
      <c r="A23" t="str">
        <f>IFERROR(B23&amp;" "&amp;COUNTIFS($B$4:B23,B23),"")</f>
        <v xml:space="preserve"> 0</v>
      </c>
      <c r="B23" s="169"/>
      <c r="C23" s="162"/>
      <c r="D23" s="162"/>
      <c r="E23" s="162"/>
      <c r="F23" s="163" t="str">
        <f t="shared" si="0"/>
        <v/>
      </c>
      <c r="G23" s="162"/>
      <c r="H23" s="162" t="s">
        <v>637</v>
      </c>
      <c r="I23" s="162"/>
      <c r="J23" s="164" t="str">
        <f t="shared" si="5"/>
        <v/>
      </c>
      <c r="K23" s="165" t="str">
        <f t="shared" si="6"/>
        <v/>
      </c>
      <c r="L23" s="165"/>
      <c r="M23" s="166" t="str">
        <f t="shared" si="2"/>
        <v/>
      </c>
      <c r="N23" s="167" t="str">
        <f t="shared" si="3"/>
        <v/>
      </c>
    </row>
    <row r="24" spans="1:14" ht="18" x14ac:dyDescent="0.35">
      <c r="A24" t="str">
        <f>IFERROR(B24&amp;" "&amp;COUNTIFS($B$4:B24,B24),"")</f>
        <v xml:space="preserve"> 0</v>
      </c>
      <c r="B24" s="169"/>
      <c r="C24" s="162"/>
      <c r="D24" s="162"/>
      <c r="E24" s="162"/>
      <c r="F24" s="163" t="str">
        <f t="shared" si="0"/>
        <v/>
      </c>
      <c r="G24" s="162"/>
      <c r="H24" s="162" t="s">
        <v>637</v>
      </c>
      <c r="I24" s="162"/>
      <c r="J24" s="164" t="str">
        <f t="shared" si="5"/>
        <v/>
      </c>
      <c r="K24" s="165" t="str">
        <f t="shared" si="6"/>
        <v/>
      </c>
      <c r="L24" s="165"/>
      <c r="M24" s="166" t="str">
        <f t="shared" si="2"/>
        <v/>
      </c>
      <c r="N24" s="167" t="str">
        <f t="shared" si="3"/>
        <v/>
      </c>
    </row>
    <row r="25" spans="1:14" ht="18" x14ac:dyDescent="0.35">
      <c r="A25" t="str">
        <f>IFERROR(B25&amp;" "&amp;COUNTIFS($B$4:B25,B25),"")</f>
        <v xml:space="preserve"> 0</v>
      </c>
      <c r="B25" s="169"/>
      <c r="C25" s="162"/>
      <c r="D25" s="162"/>
      <c r="E25" s="162"/>
      <c r="F25" s="163" t="str">
        <f t="shared" si="0"/>
        <v/>
      </c>
      <c r="G25" s="162"/>
      <c r="H25" s="162" t="s">
        <v>638</v>
      </c>
      <c r="I25" s="162"/>
      <c r="J25" s="164" t="str">
        <f t="shared" si="5"/>
        <v/>
      </c>
      <c r="K25" s="165" t="str">
        <f t="shared" si="6"/>
        <v/>
      </c>
      <c r="L25" s="165"/>
      <c r="M25" s="166" t="str">
        <f t="shared" si="2"/>
        <v/>
      </c>
      <c r="N25" s="167" t="str">
        <f t="shared" si="3"/>
        <v/>
      </c>
    </row>
    <row r="26" spans="1:14" ht="18" x14ac:dyDescent="0.35">
      <c r="A26" t="str">
        <f>IFERROR(B26&amp;" "&amp;COUNTIFS($B$4:B26,B26),"")</f>
        <v xml:space="preserve"> 0</v>
      </c>
      <c r="B26" s="169"/>
      <c r="C26" s="162"/>
      <c r="D26" s="162"/>
      <c r="E26" s="162"/>
      <c r="F26" s="163" t="str">
        <f t="shared" si="0"/>
        <v/>
      </c>
      <c r="G26" s="162"/>
      <c r="H26" s="162" t="s">
        <v>638</v>
      </c>
      <c r="I26" s="162"/>
      <c r="J26" s="164" t="str">
        <f t="shared" si="5"/>
        <v/>
      </c>
      <c r="K26" s="165" t="str">
        <f t="shared" si="6"/>
        <v/>
      </c>
      <c r="L26" s="165"/>
      <c r="M26" s="166" t="str">
        <f t="shared" si="2"/>
        <v/>
      </c>
      <c r="N26" s="167" t="str">
        <f t="shared" si="3"/>
        <v/>
      </c>
    </row>
    <row r="27" spans="1:14" ht="18" x14ac:dyDescent="0.35">
      <c r="A27" t="str">
        <f>IFERROR(B27&amp;" "&amp;COUNTIFS($B$4:B27,B27),"")</f>
        <v xml:space="preserve"> 0</v>
      </c>
      <c r="B27" s="169"/>
      <c r="C27" s="162"/>
      <c r="D27" s="162"/>
      <c r="E27" s="162"/>
      <c r="F27" s="163" t="str">
        <f t="shared" si="0"/>
        <v/>
      </c>
      <c r="G27" s="162"/>
      <c r="H27" s="162" t="s">
        <v>639</v>
      </c>
      <c r="I27" s="162"/>
      <c r="J27" s="164" t="str">
        <f t="shared" si="5"/>
        <v/>
      </c>
      <c r="K27" s="165" t="str">
        <f t="shared" si="6"/>
        <v/>
      </c>
      <c r="L27" s="165"/>
      <c r="M27" s="166" t="str">
        <f t="shared" si="2"/>
        <v/>
      </c>
      <c r="N27" s="167" t="str">
        <f t="shared" si="3"/>
        <v/>
      </c>
    </row>
    <row r="28" spans="1:14" ht="18" x14ac:dyDescent="0.35">
      <c r="A28" t="str">
        <f>IFERROR(B28&amp;" "&amp;COUNTIFS($B$4:B28,B28),"")</f>
        <v xml:space="preserve"> 0</v>
      </c>
      <c r="B28" s="169"/>
      <c r="C28" s="174"/>
      <c r="D28" s="162"/>
      <c r="E28" s="162"/>
      <c r="F28" s="163" t="str">
        <f t="shared" si="0"/>
        <v/>
      </c>
      <c r="G28" s="162"/>
      <c r="H28" s="162" t="s">
        <v>639</v>
      </c>
      <c r="I28" s="162"/>
      <c r="J28" s="164" t="str">
        <f t="shared" si="5"/>
        <v/>
      </c>
      <c r="K28" s="165" t="str">
        <f t="shared" si="6"/>
        <v/>
      </c>
      <c r="L28" s="165"/>
      <c r="M28" s="166" t="str">
        <f t="shared" si="2"/>
        <v/>
      </c>
      <c r="N28" s="167" t="str">
        <f t="shared" si="3"/>
        <v/>
      </c>
    </row>
    <row r="29" spans="1:14" ht="18" x14ac:dyDescent="0.35">
      <c r="A29" t="str">
        <f>IFERROR(B29&amp;" "&amp;COUNTIFS($B$4:B29,B29),"")</f>
        <v xml:space="preserve"> 0</v>
      </c>
      <c r="B29" s="169"/>
      <c r="C29" s="162"/>
      <c r="D29" s="162"/>
      <c r="E29" s="162"/>
      <c r="F29" s="163" t="str">
        <f t="shared" si="0"/>
        <v/>
      </c>
      <c r="G29" s="162"/>
      <c r="H29" s="162" t="s">
        <v>640</v>
      </c>
      <c r="I29" s="162"/>
      <c r="J29" s="164" t="str">
        <f t="shared" si="5"/>
        <v/>
      </c>
      <c r="K29" s="165" t="str">
        <f t="shared" si="6"/>
        <v/>
      </c>
      <c r="L29" s="165"/>
      <c r="M29" s="166" t="str">
        <f t="shared" si="2"/>
        <v/>
      </c>
      <c r="N29" s="167" t="str">
        <f t="shared" si="3"/>
        <v/>
      </c>
    </row>
    <row r="30" spans="1:14" ht="18" x14ac:dyDescent="0.35">
      <c r="A30" t="str">
        <f>IFERROR(B30&amp;" "&amp;COUNTIFS($B$4:B30,B30),"")</f>
        <v xml:space="preserve"> 0</v>
      </c>
      <c r="B30" s="169"/>
      <c r="C30" s="162"/>
      <c r="D30" s="162"/>
      <c r="E30" s="162"/>
      <c r="F30" s="163" t="str">
        <f t="shared" si="0"/>
        <v/>
      </c>
      <c r="G30" s="162"/>
      <c r="H30" s="162"/>
      <c r="I30" s="162"/>
      <c r="J30" s="164" t="str">
        <f t="shared" si="5"/>
        <v/>
      </c>
      <c r="K30" s="165" t="str">
        <f t="shared" si="6"/>
        <v/>
      </c>
      <c r="L30" s="165" t="str">
        <f t="shared" si="1"/>
        <v/>
      </c>
      <c r="M30" s="166" t="str">
        <f t="shared" si="2"/>
        <v/>
      </c>
      <c r="N30" s="167" t="str">
        <f t="shared" si="3"/>
        <v/>
      </c>
    </row>
    <row r="31" spans="1:14" ht="18" x14ac:dyDescent="0.35">
      <c r="A31" t="str">
        <f>IFERROR(B31&amp;" "&amp;COUNTIFS($B$4:B31,B31),"")</f>
        <v xml:space="preserve"> 0</v>
      </c>
      <c r="B31" s="169"/>
      <c r="C31" s="162"/>
      <c r="D31" s="162"/>
      <c r="E31" s="162"/>
      <c r="F31" s="163" t="str">
        <f t="shared" si="0"/>
        <v/>
      </c>
      <c r="G31" s="162"/>
      <c r="H31" s="162"/>
      <c r="I31" s="162"/>
      <c r="J31" s="164" t="str">
        <f t="shared" si="5"/>
        <v/>
      </c>
      <c r="K31" s="165" t="str">
        <f t="shared" si="6"/>
        <v/>
      </c>
      <c r="L31" s="165" t="str">
        <f t="shared" si="1"/>
        <v/>
      </c>
      <c r="M31" s="166" t="str">
        <f t="shared" si="2"/>
        <v/>
      </c>
      <c r="N31" s="167" t="str">
        <f t="shared" si="3"/>
        <v/>
      </c>
    </row>
    <row r="32" spans="1:14" ht="18" x14ac:dyDescent="0.35">
      <c r="A32" t="str">
        <f>IFERROR(B32&amp;" "&amp;COUNTIFS($B$4:B32,B32),"")</f>
        <v xml:space="preserve"> 0</v>
      </c>
      <c r="B32" s="169"/>
      <c r="C32" s="162"/>
      <c r="D32" s="162"/>
      <c r="E32" s="162"/>
      <c r="F32" s="163" t="str">
        <f t="shared" si="0"/>
        <v/>
      </c>
      <c r="G32" s="162"/>
      <c r="H32" s="162"/>
      <c r="I32" s="162"/>
      <c r="J32" s="164" t="str">
        <f t="shared" si="5"/>
        <v/>
      </c>
      <c r="K32" s="165" t="str">
        <f t="shared" si="6"/>
        <v/>
      </c>
      <c r="L32" s="165" t="str">
        <f t="shared" si="1"/>
        <v/>
      </c>
      <c r="M32" s="166" t="str">
        <f t="shared" si="2"/>
        <v/>
      </c>
      <c r="N32" s="167" t="str">
        <f t="shared" si="3"/>
        <v/>
      </c>
    </row>
    <row r="33" spans="1:14" ht="18" x14ac:dyDescent="0.35">
      <c r="A33" t="str">
        <f>IFERROR(B33&amp;" "&amp;COUNTIFS($B$4:B33,B33),"")</f>
        <v xml:space="preserve"> 0</v>
      </c>
      <c r="B33" s="169"/>
      <c r="C33" s="162"/>
      <c r="D33" s="162"/>
      <c r="E33" s="162"/>
      <c r="F33" s="163" t="str">
        <f t="shared" si="0"/>
        <v/>
      </c>
      <c r="G33" s="162"/>
      <c r="H33" s="162"/>
      <c r="I33" s="162"/>
      <c r="J33" s="164" t="str">
        <f t="shared" ref="J33:J58" si="7">IFERROR(VLOOKUP(B33,data_kas3,12,FALSE),"")</f>
        <v/>
      </c>
      <c r="K33" s="165" t="str">
        <f t="shared" ref="K33:K58" si="8">IFERROR(VLOOKUP(B33,data_kas3,3,FALSE),"")</f>
        <v/>
      </c>
      <c r="L33" s="165" t="str">
        <f t="shared" si="1"/>
        <v/>
      </c>
      <c r="M33" s="166" t="str">
        <f t="shared" ref="M33:M58" si="9">IFERROR(VLOOKUP(B33,data_kas3,5,FALSE),"")</f>
        <v/>
      </c>
      <c r="N33" s="167" t="str">
        <f t="shared" ref="N33:N59" si="10">IF(K33="","",K33*M33)</f>
        <v/>
      </c>
    </row>
    <row r="34" spans="1:14" ht="18" x14ac:dyDescent="0.35">
      <c r="A34" t="str">
        <f>IFERROR(B34&amp;" "&amp;COUNTIFS($B$4:B34,B34),"")</f>
        <v xml:space="preserve"> 0</v>
      </c>
      <c r="B34" s="169"/>
      <c r="C34" s="162"/>
      <c r="D34" s="162"/>
      <c r="E34" s="162"/>
      <c r="F34" s="163" t="str">
        <f t="shared" si="0"/>
        <v/>
      </c>
      <c r="G34" s="162"/>
      <c r="H34" s="162"/>
      <c r="I34" s="162"/>
      <c r="J34" s="164" t="str">
        <f t="shared" si="7"/>
        <v/>
      </c>
      <c r="K34" s="165" t="str">
        <f t="shared" si="8"/>
        <v/>
      </c>
      <c r="L34" s="165" t="str">
        <f t="shared" si="1"/>
        <v/>
      </c>
      <c r="M34" s="166" t="str">
        <f t="shared" si="9"/>
        <v/>
      </c>
      <c r="N34" s="167" t="str">
        <f t="shared" si="10"/>
        <v/>
      </c>
    </row>
    <row r="35" spans="1:14" ht="18" x14ac:dyDescent="0.35">
      <c r="A35" t="str">
        <f>IFERROR(B35&amp;" "&amp;COUNTIFS($B$4:B35,B35),"")</f>
        <v xml:space="preserve"> 0</v>
      </c>
      <c r="B35" s="169"/>
      <c r="C35" s="162"/>
      <c r="D35" s="162"/>
      <c r="E35" s="162"/>
      <c r="F35" s="163" t="str">
        <f t="shared" si="0"/>
        <v/>
      </c>
      <c r="G35" s="162"/>
      <c r="H35" s="162"/>
      <c r="I35" s="162"/>
      <c r="J35" s="164" t="str">
        <f t="shared" si="7"/>
        <v/>
      </c>
      <c r="K35" s="165" t="str">
        <f t="shared" si="8"/>
        <v/>
      </c>
      <c r="L35" s="165" t="str">
        <f t="shared" si="1"/>
        <v/>
      </c>
      <c r="M35" s="166" t="str">
        <f t="shared" si="9"/>
        <v/>
      </c>
      <c r="N35" s="167" t="str">
        <f t="shared" si="10"/>
        <v/>
      </c>
    </row>
    <row r="36" spans="1:14" ht="18" x14ac:dyDescent="0.35">
      <c r="A36" t="str">
        <f>IFERROR(B36&amp;" "&amp;COUNTIFS($B$4:B36,B36),"")</f>
        <v xml:space="preserve"> 0</v>
      </c>
      <c r="B36" s="169"/>
      <c r="C36" s="162"/>
      <c r="D36" s="162"/>
      <c r="E36" s="162"/>
      <c r="F36" s="163" t="str">
        <f t="shared" si="0"/>
        <v/>
      </c>
      <c r="G36" s="162"/>
      <c r="H36" s="162"/>
      <c r="I36" s="162"/>
      <c r="J36" s="164" t="str">
        <f t="shared" si="7"/>
        <v/>
      </c>
      <c r="K36" s="165" t="str">
        <f t="shared" si="8"/>
        <v/>
      </c>
      <c r="L36" s="165" t="str">
        <f t="shared" si="1"/>
        <v/>
      </c>
      <c r="M36" s="166" t="str">
        <f t="shared" si="9"/>
        <v/>
      </c>
      <c r="N36" s="167" t="str">
        <f t="shared" si="10"/>
        <v/>
      </c>
    </row>
    <row r="37" spans="1:14" ht="18" x14ac:dyDescent="0.35">
      <c r="A37" t="str">
        <f>IFERROR(B37&amp;" "&amp;COUNTIFS($B$4:B37,B37),"")</f>
        <v xml:space="preserve"> 0</v>
      </c>
      <c r="B37" s="169"/>
      <c r="C37" s="162"/>
      <c r="D37" s="162"/>
      <c r="E37" s="162"/>
      <c r="F37" s="163" t="str">
        <f t="shared" si="0"/>
        <v/>
      </c>
      <c r="G37" s="162"/>
      <c r="H37" s="162"/>
      <c r="I37" s="162"/>
      <c r="J37" s="164" t="str">
        <f t="shared" si="7"/>
        <v/>
      </c>
      <c r="K37" s="165" t="str">
        <f t="shared" si="8"/>
        <v/>
      </c>
      <c r="L37" s="165" t="str">
        <f t="shared" si="1"/>
        <v/>
      </c>
      <c r="M37" s="166" t="str">
        <f t="shared" si="9"/>
        <v/>
      </c>
      <c r="N37" s="167" t="str">
        <f t="shared" si="10"/>
        <v/>
      </c>
    </row>
    <row r="38" spans="1:14" ht="18" x14ac:dyDescent="0.35">
      <c r="A38" t="str">
        <f>IFERROR(B38&amp;" "&amp;COUNTIFS($B$4:B38,B38),"")</f>
        <v xml:space="preserve"> 0</v>
      </c>
      <c r="B38" s="169"/>
      <c r="C38" s="162"/>
      <c r="D38" s="162"/>
      <c r="E38" s="162"/>
      <c r="F38" s="163" t="str">
        <f t="shared" si="0"/>
        <v/>
      </c>
      <c r="G38" s="162"/>
      <c r="H38" s="162"/>
      <c r="I38" s="162"/>
      <c r="J38" s="164" t="str">
        <f t="shared" si="7"/>
        <v/>
      </c>
      <c r="K38" s="165" t="str">
        <f t="shared" si="8"/>
        <v/>
      </c>
      <c r="L38" s="165" t="str">
        <f t="shared" si="1"/>
        <v/>
      </c>
      <c r="M38" s="166" t="str">
        <f t="shared" si="9"/>
        <v/>
      </c>
      <c r="N38" s="167" t="str">
        <f t="shared" si="10"/>
        <v/>
      </c>
    </row>
    <row r="39" spans="1:14" ht="18" x14ac:dyDescent="0.35">
      <c r="A39" t="str">
        <f>IFERROR(B39&amp;" "&amp;COUNTIFS($B$4:B39,B39),"")</f>
        <v xml:space="preserve"> 0</v>
      </c>
      <c r="B39" s="169"/>
      <c r="C39" s="162"/>
      <c r="D39" s="162"/>
      <c r="E39" s="162"/>
      <c r="F39" s="163" t="str">
        <f t="shared" si="0"/>
        <v/>
      </c>
      <c r="G39" s="162"/>
      <c r="H39" s="162"/>
      <c r="I39" s="162"/>
      <c r="J39" s="164" t="str">
        <f t="shared" si="7"/>
        <v/>
      </c>
      <c r="K39" s="165" t="str">
        <f t="shared" si="8"/>
        <v/>
      </c>
      <c r="L39" s="165" t="str">
        <f t="shared" si="1"/>
        <v/>
      </c>
      <c r="M39" s="166" t="str">
        <f t="shared" si="9"/>
        <v/>
      </c>
      <c r="N39" s="167" t="str">
        <f t="shared" si="10"/>
        <v/>
      </c>
    </row>
    <row r="40" spans="1:14" ht="18" x14ac:dyDescent="0.35">
      <c r="A40" t="str">
        <f>IFERROR(B40&amp;" "&amp;COUNTIFS($B$4:B40,B40),"")</f>
        <v xml:space="preserve"> 0</v>
      </c>
      <c r="B40" s="169"/>
      <c r="C40" s="162"/>
      <c r="D40" s="162"/>
      <c r="E40" s="162"/>
      <c r="F40" s="163" t="str">
        <f t="shared" si="0"/>
        <v/>
      </c>
      <c r="G40" s="162"/>
      <c r="H40" s="162"/>
      <c r="I40" s="162"/>
      <c r="J40" s="164" t="str">
        <f t="shared" si="7"/>
        <v/>
      </c>
      <c r="K40" s="165" t="str">
        <f t="shared" si="8"/>
        <v/>
      </c>
      <c r="L40" s="165" t="str">
        <f t="shared" si="1"/>
        <v/>
      </c>
      <c r="M40" s="166" t="str">
        <f t="shared" si="9"/>
        <v/>
      </c>
      <c r="N40" s="167" t="str">
        <f t="shared" si="10"/>
        <v/>
      </c>
    </row>
    <row r="41" spans="1:14" ht="18" x14ac:dyDescent="0.35">
      <c r="A41" t="str">
        <f>IFERROR(B41&amp;" "&amp;COUNTIFS($B$4:B41,B41),"")</f>
        <v xml:space="preserve"> 0</v>
      </c>
      <c r="B41" s="169"/>
      <c r="C41" s="162"/>
      <c r="D41" s="162"/>
      <c r="E41" s="162"/>
      <c r="F41" s="163" t="str">
        <f t="shared" si="0"/>
        <v/>
      </c>
      <c r="G41" s="162"/>
      <c r="H41" s="162"/>
      <c r="I41" s="162"/>
      <c r="J41" s="164" t="str">
        <f t="shared" si="7"/>
        <v/>
      </c>
      <c r="K41" s="165" t="str">
        <f t="shared" si="8"/>
        <v/>
      </c>
      <c r="L41" s="165" t="str">
        <f t="shared" si="1"/>
        <v/>
      </c>
      <c r="M41" s="166" t="str">
        <f t="shared" si="9"/>
        <v/>
      </c>
      <c r="N41" s="167" t="str">
        <f t="shared" si="10"/>
        <v/>
      </c>
    </row>
    <row r="42" spans="1:14" ht="18" x14ac:dyDescent="0.35">
      <c r="A42" t="str">
        <f>IFERROR(B42&amp;" "&amp;COUNTIFS($B$4:B42,B42),"")</f>
        <v xml:space="preserve"> 0</v>
      </c>
      <c r="B42" s="169"/>
      <c r="C42" s="162"/>
      <c r="D42" s="162"/>
      <c r="E42" s="162"/>
      <c r="F42" s="163" t="str">
        <f t="shared" si="0"/>
        <v/>
      </c>
      <c r="G42" s="162"/>
      <c r="H42" s="162"/>
      <c r="I42" s="162"/>
      <c r="J42" s="164" t="str">
        <f t="shared" si="7"/>
        <v/>
      </c>
      <c r="K42" s="165" t="str">
        <f t="shared" si="8"/>
        <v/>
      </c>
      <c r="L42" s="165" t="str">
        <f t="shared" si="1"/>
        <v/>
      </c>
      <c r="M42" s="166" t="str">
        <f t="shared" si="9"/>
        <v/>
      </c>
      <c r="N42" s="167" t="str">
        <f t="shared" si="10"/>
        <v/>
      </c>
    </row>
    <row r="43" spans="1:14" ht="18" x14ac:dyDescent="0.35">
      <c r="A43" t="str">
        <f>IFERROR(B43&amp;" "&amp;COUNTIFS($B$4:B43,B43),"")</f>
        <v xml:space="preserve"> 0</v>
      </c>
      <c r="B43" s="169"/>
      <c r="C43" s="162"/>
      <c r="D43" s="162"/>
      <c r="E43" s="162"/>
      <c r="F43" s="163" t="str">
        <f t="shared" si="0"/>
        <v/>
      </c>
      <c r="G43" s="162"/>
      <c r="H43" s="162"/>
      <c r="I43" s="162"/>
      <c r="J43" s="164" t="str">
        <f t="shared" si="7"/>
        <v/>
      </c>
      <c r="K43" s="165" t="str">
        <f t="shared" si="8"/>
        <v/>
      </c>
      <c r="L43" s="165" t="str">
        <f t="shared" si="1"/>
        <v/>
      </c>
      <c r="M43" s="166" t="str">
        <f t="shared" si="9"/>
        <v/>
      </c>
      <c r="N43" s="167" t="str">
        <f t="shared" si="10"/>
        <v/>
      </c>
    </row>
    <row r="44" spans="1:14" ht="18" x14ac:dyDescent="0.35">
      <c r="A44" t="str">
        <f>IFERROR(B44&amp;" "&amp;COUNTIFS($B$4:B44,B44),"")</f>
        <v xml:space="preserve"> 0</v>
      </c>
      <c r="B44" s="169"/>
      <c r="C44" s="162"/>
      <c r="D44" s="162"/>
      <c r="E44" s="162"/>
      <c r="F44" s="163" t="str">
        <f t="shared" si="0"/>
        <v/>
      </c>
      <c r="G44" s="162"/>
      <c r="H44" s="162"/>
      <c r="I44" s="162"/>
      <c r="J44" s="164" t="str">
        <f t="shared" si="7"/>
        <v/>
      </c>
      <c r="K44" s="165" t="str">
        <f t="shared" si="8"/>
        <v/>
      </c>
      <c r="L44" s="165" t="str">
        <f t="shared" si="1"/>
        <v/>
      </c>
      <c r="M44" s="166" t="str">
        <f t="shared" si="9"/>
        <v/>
      </c>
      <c r="N44" s="167" t="str">
        <f t="shared" si="10"/>
        <v/>
      </c>
    </row>
    <row r="45" spans="1:14" ht="18" x14ac:dyDescent="0.35">
      <c r="A45" t="str">
        <f>IFERROR(B45&amp;" "&amp;COUNTIFS($B$4:B45,B45),"")</f>
        <v xml:space="preserve"> 0</v>
      </c>
      <c r="B45" s="169"/>
      <c r="C45" s="162"/>
      <c r="D45" s="162"/>
      <c r="E45" s="162"/>
      <c r="F45" s="163" t="str">
        <f t="shared" si="0"/>
        <v/>
      </c>
      <c r="G45" s="162"/>
      <c r="H45" s="162"/>
      <c r="I45" s="162"/>
      <c r="J45" s="164" t="str">
        <f t="shared" si="7"/>
        <v/>
      </c>
      <c r="K45" s="165" t="str">
        <f t="shared" si="8"/>
        <v/>
      </c>
      <c r="L45" s="165" t="str">
        <f t="shared" si="1"/>
        <v/>
      </c>
      <c r="M45" s="166" t="str">
        <f t="shared" si="9"/>
        <v/>
      </c>
      <c r="N45" s="167" t="str">
        <f t="shared" si="10"/>
        <v/>
      </c>
    </row>
    <row r="46" spans="1:14" ht="18" x14ac:dyDescent="0.35">
      <c r="A46" t="str">
        <f>IFERROR(B46&amp;" "&amp;COUNTIFS($B$4:B46,B46),"")</f>
        <v xml:space="preserve"> 0</v>
      </c>
      <c r="B46" s="169"/>
      <c r="C46" s="162"/>
      <c r="D46" s="162"/>
      <c r="E46" s="162"/>
      <c r="F46" s="163" t="str">
        <f t="shared" si="0"/>
        <v/>
      </c>
      <c r="G46" s="162"/>
      <c r="H46" s="162"/>
      <c r="I46" s="162"/>
      <c r="J46" s="164" t="str">
        <f t="shared" si="7"/>
        <v/>
      </c>
      <c r="K46" s="165" t="str">
        <f t="shared" si="8"/>
        <v/>
      </c>
      <c r="L46" s="165" t="str">
        <f t="shared" si="1"/>
        <v/>
      </c>
      <c r="M46" s="166" t="str">
        <f t="shared" si="9"/>
        <v/>
      </c>
      <c r="N46" s="167" t="str">
        <f t="shared" si="10"/>
        <v/>
      </c>
    </row>
    <row r="47" spans="1:14" ht="18" x14ac:dyDescent="0.35">
      <c r="A47" t="str">
        <f>IFERROR(B47&amp;" "&amp;COUNTIFS($B$4:B47,B47),"")</f>
        <v xml:space="preserve"> 0</v>
      </c>
      <c r="B47" s="169"/>
      <c r="C47" s="162"/>
      <c r="D47" s="162"/>
      <c r="E47" s="162"/>
      <c r="F47" s="163" t="str">
        <f t="shared" si="0"/>
        <v/>
      </c>
      <c r="G47" s="162"/>
      <c r="H47" s="162"/>
      <c r="I47" s="162"/>
      <c r="J47" s="164" t="str">
        <f t="shared" si="7"/>
        <v/>
      </c>
      <c r="K47" s="165" t="str">
        <f t="shared" si="8"/>
        <v/>
      </c>
      <c r="L47" s="165" t="str">
        <f t="shared" si="1"/>
        <v/>
      </c>
      <c r="M47" s="166" t="str">
        <f t="shared" si="9"/>
        <v/>
      </c>
      <c r="N47" s="167" t="str">
        <f t="shared" si="10"/>
        <v/>
      </c>
    </row>
    <row r="48" spans="1:14" ht="18" x14ac:dyDescent="0.35">
      <c r="A48" t="str">
        <f>IFERROR(B48&amp;" "&amp;COUNTIFS($B$4:B48,B48),"")</f>
        <v xml:space="preserve"> 0</v>
      </c>
      <c r="B48" s="169"/>
      <c r="C48" s="162"/>
      <c r="D48" s="162"/>
      <c r="E48" s="162"/>
      <c r="F48" s="163" t="str">
        <f t="shared" si="0"/>
        <v/>
      </c>
      <c r="G48" s="162"/>
      <c r="H48" s="162"/>
      <c r="I48" s="162"/>
      <c r="J48" s="164" t="str">
        <f t="shared" si="7"/>
        <v/>
      </c>
      <c r="K48" s="165" t="str">
        <f t="shared" si="8"/>
        <v/>
      </c>
      <c r="L48" s="165" t="str">
        <f t="shared" si="1"/>
        <v/>
      </c>
      <c r="M48" s="166" t="str">
        <f t="shared" si="9"/>
        <v/>
      </c>
      <c r="N48" s="167" t="str">
        <f t="shared" si="10"/>
        <v/>
      </c>
    </row>
    <row r="49" spans="1:14" ht="18" x14ac:dyDescent="0.35">
      <c r="A49" t="str">
        <f>IFERROR(B49&amp;" "&amp;COUNTIFS($B$4:B49,B49),"")</f>
        <v xml:space="preserve"> 0</v>
      </c>
      <c r="B49" s="169"/>
      <c r="C49" s="162"/>
      <c r="D49" s="162"/>
      <c r="E49" s="162"/>
      <c r="F49" s="163" t="str">
        <f t="shared" si="0"/>
        <v/>
      </c>
      <c r="G49" s="162"/>
      <c r="H49" s="162"/>
      <c r="I49" s="162"/>
      <c r="J49" s="164" t="str">
        <f t="shared" si="7"/>
        <v/>
      </c>
      <c r="K49" s="165" t="str">
        <f t="shared" si="8"/>
        <v/>
      </c>
      <c r="L49" s="165" t="str">
        <f t="shared" si="1"/>
        <v/>
      </c>
      <c r="M49" s="166" t="str">
        <f t="shared" si="9"/>
        <v/>
      </c>
      <c r="N49" s="167" t="str">
        <f t="shared" si="10"/>
        <v/>
      </c>
    </row>
    <row r="50" spans="1:14" ht="18" x14ac:dyDescent="0.35">
      <c r="A50" t="str">
        <f>IFERROR(B50&amp;" "&amp;COUNTIFS($B$4:B50,B50),"")</f>
        <v xml:space="preserve"> 0</v>
      </c>
      <c r="B50" s="169"/>
      <c r="C50" s="162"/>
      <c r="D50" s="162"/>
      <c r="E50" s="162"/>
      <c r="F50" s="163" t="str">
        <f t="shared" si="0"/>
        <v/>
      </c>
      <c r="G50" s="162"/>
      <c r="H50" s="162"/>
      <c r="I50" s="162"/>
      <c r="J50" s="164" t="str">
        <f t="shared" si="7"/>
        <v/>
      </c>
      <c r="K50" s="165" t="str">
        <f t="shared" si="8"/>
        <v/>
      </c>
      <c r="L50" s="165" t="str">
        <f t="shared" si="1"/>
        <v/>
      </c>
      <c r="M50" s="166" t="str">
        <f t="shared" si="9"/>
        <v/>
      </c>
      <c r="N50" s="167" t="str">
        <f t="shared" si="10"/>
        <v/>
      </c>
    </row>
    <row r="51" spans="1:14" ht="18" x14ac:dyDescent="0.35">
      <c r="A51" t="str">
        <f>IFERROR(B51&amp;" "&amp;COUNTIFS($B$4:B51,B51),"")</f>
        <v xml:space="preserve"> 0</v>
      </c>
      <c r="B51" s="169"/>
      <c r="C51" s="162"/>
      <c r="D51" s="162"/>
      <c r="E51" s="162"/>
      <c r="F51" s="163" t="str">
        <f t="shared" si="0"/>
        <v/>
      </c>
      <c r="G51" s="162"/>
      <c r="H51" s="162"/>
      <c r="I51" s="162"/>
      <c r="J51" s="164" t="str">
        <f t="shared" si="7"/>
        <v/>
      </c>
      <c r="K51" s="165" t="str">
        <f t="shared" si="8"/>
        <v/>
      </c>
      <c r="L51" s="165" t="str">
        <f t="shared" si="1"/>
        <v/>
      </c>
      <c r="M51" s="166" t="str">
        <f t="shared" si="9"/>
        <v/>
      </c>
      <c r="N51" s="167" t="str">
        <f t="shared" si="10"/>
        <v/>
      </c>
    </row>
    <row r="52" spans="1:14" ht="18" x14ac:dyDescent="0.35">
      <c r="A52" t="str">
        <f>IFERROR(B52&amp;" "&amp;COUNTIFS($B$4:B52,B52),"")</f>
        <v xml:space="preserve"> 0</v>
      </c>
      <c r="B52" s="169"/>
      <c r="C52" s="162"/>
      <c r="D52" s="162"/>
      <c r="E52" s="162"/>
      <c r="F52" s="163" t="str">
        <f t="shared" si="0"/>
        <v/>
      </c>
      <c r="G52" s="162"/>
      <c r="H52" s="162"/>
      <c r="I52" s="162"/>
      <c r="J52" s="164" t="str">
        <f t="shared" si="7"/>
        <v/>
      </c>
      <c r="K52" s="165" t="str">
        <f t="shared" si="8"/>
        <v/>
      </c>
      <c r="L52" s="165" t="str">
        <f t="shared" si="1"/>
        <v/>
      </c>
      <c r="M52" s="166" t="str">
        <f t="shared" si="9"/>
        <v/>
      </c>
      <c r="N52" s="167" t="str">
        <f t="shared" si="10"/>
        <v/>
      </c>
    </row>
    <row r="53" spans="1:14" ht="18" x14ac:dyDescent="0.35">
      <c r="A53" t="str">
        <f>IFERROR(B53&amp;" "&amp;COUNTIFS($B$4:B53,B53),"")</f>
        <v xml:space="preserve"> 0</v>
      </c>
      <c r="B53" s="169"/>
      <c r="C53" s="162"/>
      <c r="D53" s="162"/>
      <c r="E53" s="162"/>
      <c r="F53" s="163" t="str">
        <f t="shared" si="0"/>
        <v/>
      </c>
      <c r="G53" s="162"/>
      <c r="H53" s="162"/>
      <c r="I53" s="162"/>
      <c r="J53" s="164" t="str">
        <f t="shared" si="7"/>
        <v/>
      </c>
      <c r="K53" s="165" t="str">
        <f t="shared" si="8"/>
        <v/>
      </c>
      <c r="L53" s="165" t="str">
        <f t="shared" si="1"/>
        <v/>
      </c>
      <c r="M53" s="166" t="str">
        <f t="shared" si="9"/>
        <v/>
      </c>
      <c r="N53" s="167" t="str">
        <f t="shared" si="10"/>
        <v/>
      </c>
    </row>
    <row r="54" spans="1:14" ht="18" x14ac:dyDescent="0.35">
      <c r="A54" t="str">
        <f>IFERROR(B54&amp;" "&amp;COUNTIFS($B$4:B54,B54),"")</f>
        <v xml:space="preserve"> 0</v>
      </c>
      <c r="B54" s="169"/>
      <c r="C54" s="162"/>
      <c r="D54" s="162"/>
      <c r="E54" s="162"/>
      <c r="F54" s="163" t="str">
        <f t="shared" si="0"/>
        <v/>
      </c>
      <c r="G54" s="162"/>
      <c r="H54" s="162"/>
      <c r="I54" s="162"/>
      <c r="J54" s="164" t="str">
        <f t="shared" si="7"/>
        <v/>
      </c>
      <c r="K54" s="165" t="str">
        <f t="shared" si="8"/>
        <v/>
      </c>
      <c r="L54" s="165" t="str">
        <f t="shared" si="1"/>
        <v/>
      </c>
      <c r="M54" s="166" t="str">
        <f t="shared" si="9"/>
        <v/>
      </c>
      <c r="N54" s="167" t="str">
        <f t="shared" si="10"/>
        <v/>
      </c>
    </row>
    <row r="55" spans="1:14" ht="18" x14ac:dyDescent="0.35">
      <c r="A55" t="str">
        <f>IFERROR(B55&amp;" "&amp;COUNTIFS($B$4:B55,B55),"")</f>
        <v xml:space="preserve"> 0</v>
      </c>
      <c r="B55" s="169"/>
      <c r="C55" s="162"/>
      <c r="D55" s="162"/>
      <c r="E55" s="162"/>
      <c r="F55" s="163" t="str">
        <f t="shared" si="0"/>
        <v/>
      </c>
      <c r="G55" s="162"/>
      <c r="H55" s="162"/>
      <c r="I55" s="162"/>
      <c r="J55" s="164" t="str">
        <f t="shared" si="7"/>
        <v/>
      </c>
      <c r="K55" s="165" t="str">
        <f t="shared" si="8"/>
        <v/>
      </c>
      <c r="L55" s="165" t="str">
        <f t="shared" si="1"/>
        <v/>
      </c>
      <c r="M55" s="166" t="str">
        <f t="shared" si="9"/>
        <v/>
      </c>
      <c r="N55" s="167" t="str">
        <f t="shared" si="10"/>
        <v/>
      </c>
    </row>
    <row r="56" spans="1:14" ht="18" x14ac:dyDescent="0.35">
      <c r="A56" t="str">
        <f>IFERROR(B56&amp;" "&amp;COUNTIFS($B$4:B56,B56),"")</f>
        <v xml:space="preserve"> 0</v>
      </c>
      <c r="B56" s="169"/>
      <c r="C56" s="162"/>
      <c r="D56" s="162"/>
      <c r="E56" s="162"/>
      <c r="F56" s="163" t="str">
        <f t="shared" si="0"/>
        <v/>
      </c>
      <c r="G56" s="162"/>
      <c r="H56" s="162"/>
      <c r="I56" s="162"/>
      <c r="J56" s="164" t="str">
        <f t="shared" si="7"/>
        <v/>
      </c>
      <c r="K56" s="165" t="str">
        <f t="shared" si="8"/>
        <v/>
      </c>
      <c r="L56" s="165" t="str">
        <f t="shared" si="1"/>
        <v/>
      </c>
      <c r="M56" s="166" t="str">
        <f t="shared" si="9"/>
        <v/>
      </c>
      <c r="N56" s="167" t="str">
        <f t="shared" si="10"/>
        <v/>
      </c>
    </row>
    <row r="57" spans="1:14" ht="18" x14ac:dyDescent="0.35">
      <c r="A57" t="str">
        <f>IFERROR(B57&amp;" "&amp;COUNTIFS($B$4:B57,B57),"")</f>
        <v xml:space="preserve"> 0</v>
      </c>
      <c r="B57" s="169"/>
      <c r="C57" s="162"/>
      <c r="D57" s="162"/>
      <c r="E57" s="162"/>
      <c r="F57" s="163" t="str">
        <f t="shared" si="0"/>
        <v/>
      </c>
      <c r="G57" s="162"/>
      <c r="H57" s="162"/>
      <c r="I57" s="162"/>
      <c r="J57" s="164" t="str">
        <f t="shared" si="7"/>
        <v/>
      </c>
      <c r="K57" s="165" t="str">
        <f t="shared" si="8"/>
        <v/>
      </c>
      <c r="L57" s="165" t="str">
        <f t="shared" si="1"/>
        <v/>
      </c>
      <c r="M57" s="166" t="str">
        <f t="shared" si="9"/>
        <v/>
      </c>
      <c r="N57" s="167" t="str">
        <f t="shared" si="10"/>
        <v/>
      </c>
    </row>
    <row r="58" spans="1:14" ht="18" x14ac:dyDescent="0.35">
      <c r="A58" t="str">
        <f>IFERROR(B58&amp;" "&amp;COUNTIFS($B$4:B58,B58),"")</f>
        <v xml:space="preserve"> 0</v>
      </c>
      <c r="B58" s="169"/>
      <c r="C58" s="162"/>
      <c r="D58" s="162"/>
      <c r="E58" s="162"/>
      <c r="F58" s="163" t="str">
        <f t="shared" si="0"/>
        <v/>
      </c>
      <c r="G58" s="162"/>
      <c r="H58" s="162"/>
      <c r="I58" s="162"/>
      <c r="J58" s="164" t="str">
        <f t="shared" si="7"/>
        <v/>
      </c>
      <c r="K58" s="165" t="str">
        <f t="shared" si="8"/>
        <v/>
      </c>
      <c r="L58" s="165" t="str">
        <f t="shared" si="1"/>
        <v/>
      </c>
      <c r="M58" s="166" t="str">
        <f t="shared" si="9"/>
        <v/>
      </c>
      <c r="N58" s="167" t="str">
        <f t="shared" si="10"/>
        <v/>
      </c>
    </row>
    <row r="59" spans="1:14" ht="18" x14ac:dyDescent="0.35">
      <c r="A59" t="str">
        <f>IFERROR(B59&amp;" "&amp;COUNTIFS($B$4:B59,B59),"")</f>
        <v xml:space="preserve"> 0</v>
      </c>
      <c r="B59" s="169"/>
      <c r="C59" s="162"/>
      <c r="D59" s="162"/>
      <c r="E59" s="162"/>
      <c r="F59" s="163" t="str">
        <f t="shared" si="0"/>
        <v/>
      </c>
      <c r="G59" s="162"/>
      <c r="H59" s="162"/>
      <c r="I59" s="162"/>
      <c r="J59" s="164" t="str">
        <f t="shared" ref="J59:J122" si="11">IFERROR(VLOOKUP(B59,data_kas3,12,FALSE),"")</f>
        <v/>
      </c>
      <c r="K59" s="165" t="str">
        <f t="shared" ref="K59:K122" si="12">IFERROR(VLOOKUP(B59,data_kas3,3,FALSE),"")</f>
        <v/>
      </c>
      <c r="L59" s="165" t="str">
        <f t="shared" si="1"/>
        <v/>
      </c>
      <c r="M59" s="166" t="str">
        <f t="shared" ref="M59:M122" si="13">IFERROR(VLOOKUP(B59,data_kas3,5,FALSE),"")</f>
        <v/>
      </c>
      <c r="N59" s="167" t="str">
        <f t="shared" si="10"/>
        <v/>
      </c>
    </row>
    <row r="60" spans="1:14" ht="18" x14ac:dyDescent="0.35">
      <c r="A60" t="str">
        <f>IFERROR(B60&amp;" "&amp;COUNTIFS($B$4:B60,B60),"")</f>
        <v xml:space="preserve"> 0</v>
      </c>
      <c r="B60" s="169"/>
      <c r="C60" s="162"/>
      <c r="D60" s="162"/>
      <c r="E60" s="162"/>
      <c r="F60" s="163" t="str">
        <f t="shared" si="0"/>
        <v/>
      </c>
      <c r="G60" s="162"/>
      <c r="H60" s="162"/>
      <c r="I60" s="162"/>
      <c r="J60" s="164" t="str">
        <f t="shared" si="11"/>
        <v/>
      </c>
      <c r="K60" s="165" t="str">
        <f t="shared" si="12"/>
        <v/>
      </c>
      <c r="L60" s="165" t="str">
        <f t="shared" si="1"/>
        <v/>
      </c>
      <c r="M60" s="166" t="str">
        <f t="shared" si="13"/>
        <v/>
      </c>
      <c r="N60" s="167" t="str">
        <f t="shared" ref="N60:N123" si="14">IF(K60="","",K60*M60)</f>
        <v/>
      </c>
    </row>
    <row r="61" spans="1:14" ht="18" x14ac:dyDescent="0.35">
      <c r="A61" t="str">
        <f>IFERROR(B61&amp;" "&amp;COUNTIFS($B$4:B61,B61),"")</f>
        <v xml:space="preserve"> 0</v>
      </c>
      <c r="B61" s="169"/>
      <c r="C61" s="162"/>
      <c r="D61" s="162"/>
      <c r="E61" s="162"/>
      <c r="F61" s="163" t="str">
        <f t="shared" si="0"/>
        <v/>
      </c>
      <c r="G61" s="162"/>
      <c r="H61" s="162"/>
      <c r="I61" s="162"/>
      <c r="J61" s="164" t="str">
        <f t="shared" si="11"/>
        <v/>
      </c>
      <c r="K61" s="165" t="str">
        <f t="shared" si="12"/>
        <v/>
      </c>
      <c r="L61" s="165" t="str">
        <f t="shared" si="1"/>
        <v/>
      </c>
      <c r="M61" s="166" t="str">
        <f t="shared" si="13"/>
        <v/>
      </c>
      <c r="N61" s="167" t="str">
        <f t="shared" si="14"/>
        <v/>
      </c>
    </row>
    <row r="62" spans="1:14" ht="18" x14ac:dyDescent="0.35">
      <c r="A62" t="str">
        <f>IFERROR(B62&amp;" "&amp;COUNTIFS($B$4:B62,B62),"")</f>
        <v xml:space="preserve"> 0</v>
      </c>
      <c r="B62" s="169"/>
      <c r="C62" s="162"/>
      <c r="D62" s="162"/>
      <c r="E62" s="162"/>
      <c r="F62" s="163" t="str">
        <f t="shared" si="0"/>
        <v/>
      </c>
      <c r="G62" s="162"/>
      <c r="H62" s="162"/>
      <c r="I62" s="162"/>
      <c r="J62" s="164" t="str">
        <f t="shared" si="11"/>
        <v/>
      </c>
      <c r="K62" s="165" t="str">
        <f t="shared" si="12"/>
        <v/>
      </c>
      <c r="L62" s="165" t="str">
        <f t="shared" si="1"/>
        <v/>
      </c>
      <c r="M62" s="166" t="str">
        <f t="shared" si="13"/>
        <v/>
      </c>
      <c r="N62" s="167" t="str">
        <f t="shared" si="14"/>
        <v/>
      </c>
    </row>
    <row r="63" spans="1:14" ht="18" x14ac:dyDescent="0.35">
      <c r="A63" t="str">
        <f>IFERROR(B63&amp;" "&amp;COUNTIFS($B$4:B63,B63),"")</f>
        <v xml:space="preserve"> 0</v>
      </c>
      <c r="B63" s="169"/>
      <c r="C63" s="162"/>
      <c r="D63" s="162"/>
      <c r="E63" s="162"/>
      <c r="F63" s="163" t="str">
        <f t="shared" si="0"/>
        <v/>
      </c>
      <c r="G63" s="162"/>
      <c r="H63" s="162"/>
      <c r="I63" s="162"/>
      <c r="J63" s="164" t="str">
        <f t="shared" si="11"/>
        <v/>
      </c>
      <c r="K63" s="165" t="str">
        <f t="shared" si="12"/>
        <v/>
      </c>
      <c r="L63" s="165" t="str">
        <f t="shared" si="1"/>
        <v/>
      </c>
      <c r="M63" s="166" t="str">
        <f t="shared" si="13"/>
        <v/>
      </c>
      <c r="N63" s="167" t="str">
        <f t="shared" si="14"/>
        <v/>
      </c>
    </row>
    <row r="64" spans="1:14" ht="18" x14ac:dyDescent="0.35">
      <c r="A64" t="str">
        <f>IFERROR(B64&amp;" "&amp;COUNTIFS($B$4:B64,B64),"")</f>
        <v xml:space="preserve"> 0</v>
      </c>
      <c r="B64" s="169"/>
      <c r="C64" s="162"/>
      <c r="D64" s="162"/>
      <c r="E64" s="162"/>
      <c r="F64" s="163" t="str">
        <f t="shared" si="0"/>
        <v/>
      </c>
      <c r="G64" s="162"/>
      <c r="H64" s="162"/>
      <c r="I64" s="162"/>
      <c r="J64" s="164" t="str">
        <f t="shared" si="11"/>
        <v/>
      </c>
      <c r="K64" s="165" t="str">
        <f t="shared" si="12"/>
        <v/>
      </c>
      <c r="L64" s="165" t="str">
        <f t="shared" si="1"/>
        <v/>
      </c>
      <c r="M64" s="166" t="str">
        <f t="shared" si="13"/>
        <v/>
      </c>
      <c r="N64" s="167" t="str">
        <f t="shared" si="14"/>
        <v/>
      </c>
    </row>
    <row r="65" spans="1:14" ht="18" x14ac:dyDescent="0.35">
      <c r="A65" t="str">
        <f>IFERROR(B65&amp;" "&amp;COUNTIFS($B$4:B65,B65),"")</f>
        <v xml:space="preserve"> 0</v>
      </c>
      <c r="B65" s="169"/>
      <c r="C65" s="162"/>
      <c r="D65" s="162"/>
      <c r="E65" s="162"/>
      <c r="F65" s="163" t="str">
        <f t="shared" si="0"/>
        <v/>
      </c>
      <c r="G65" s="162"/>
      <c r="H65" s="162"/>
      <c r="I65" s="162"/>
      <c r="J65" s="164" t="str">
        <f t="shared" si="11"/>
        <v/>
      </c>
      <c r="K65" s="165" t="str">
        <f t="shared" si="12"/>
        <v/>
      </c>
      <c r="L65" s="165" t="str">
        <f t="shared" si="1"/>
        <v/>
      </c>
      <c r="M65" s="166" t="str">
        <f t="shared" si="13"/>
        <v/>
      </c>
      <c r="N65" s="167" t="str">
        <f t="shared" si="14"/>
        <v/>
      </c>
    </row>
    <row r="66" spans="1:14" ht="18" x14ac:dyDescent="0.35">
      <c r="A66" t="str">
        <f>IFERROR(B66&amp;" "&amp;COUNTIFS($B$4:B66,B66),"")</f>
        <v xml:space="preserve"> 0</v>
      </c>
      <c r="B66" s="169"/>
      <c r="C66" s="162"/>
      <c r="D66" s="162"/>
      <c r="E66" s="162"/>
      <c r="F66" s="163" t="str">
        <f t="shared" si="0"/>
        <v/>
      </c>
      <c r="G66" s="162"/>
      <c r="H66" s="162"/>
      <c r="I66" s="162"/>
      <c r="J66" s="164" t="str">
        <f t="shared" si="11"/>
        <v/>
      </c>
      <c r="K66" s="165" t="str">
        <f t="shared" si="12"/>
        <v/>
      </c>
      <c r="L66" s="165" t="str">
        <f t="shared" si="1"/>
        <v/>
      </c>
      <c r="M66" s="166" t="str">
        <f t="shared" si="13"/>
        <v/>
      </c>
      <c r="N66" s="167" t="str">
        <f t="shared" si="14"/>
        <v/>
      </c>
    </row>
    <row r="67" spans="1:14" ht="18" x14ac:dyDescent="0.35">
      <c r="A67" t="str">
        <f>IFERROR(B67&amp;" "&amp;COUNTIFS($B$4:B67,B67),"")</f>
        <v xml:space="preserve"> 0</v>
      </c>
      <c r="B67" s="169"/>
      <c r="C67" s="162"/>
      <c r="D67" s="162"/>
      <c r="E67" s="162"/>
      <c r="F67" s="163" t="str">
        <f t="shared" si="0"/>
        <v/>
      </c>
      <c r="G67" s="162"/>
      <c r="H67" s="162"/>
      <c r="I67" s="162"/>
      <c r="J67" s="164" t="str">
        <f t="shared" si="11"/>
        <v/>
      </c>
      <c r="K67" s="165" t="str">
        <f t="shared" si="12"/>
        <v/>
      </c>
      <c r="L67" s="165" t="str">
        <f t="shared" si="1"/>
        <v/>
      </c>
      <c r="M67" s="166" t="str">
        <f t="shared" si="13"/>
        <v/>
      </c>
      <c r="N67" s="167" t="str">
        <f t="shared" si="14"/>
        <v/>
      </c>
    </row>
    <row r="68" spans="1:14" ht="18" x14ac:dyDescent="0.35">
      <c r="A68" t="str">
        <f>IFERROR(B68&amp;" "&amp;COUNTIFS($B$4:B68,B68),"")</f>
        <v xml:space="preserve"> 0</v>
      </c>
      <c r="B68" s="169"/>
      <c r="C68" s="162"/>
      <c r="D68" s="162"/>
      <c r="E68" s="162"/>
      <c r="F68" s="163" t="str">
        <f t="shared" ref="F68:F131" si="15">IFERROR(VLOOKUP(E68,data_guru,3,FALSE),"")</f>
        <v/>
      </c>
      <c r="G68" s="162"/>
      <c r="H68" s="162"/>
      <c r="I68" s="162"/>
      <c r="J68" s="164" t="str">
        <f t="shared" si="11"/>
        <v/>
      </c>
      <c r="K68" s="165" t="str">
        <f t="shared" si="12"/>
        <v/>
      </c>
      <c r="L68" s="165" t="str">
        <f t="shared" ref="L68:L131" si="16">IFERROR(VLOOKUP(B68,data_kas3,4,FALSE),"")</f>
        <v/>
      </c>
      <c r="M68" s="166" t="str">
        <f t="shared" si="13"/>
        <v/>
      </c>
      <c r="N68" s="167" t="str">
        <f t="shared" si="14"/>
        <v/>
      </c>
    </row>
    <row r="69" spans="1:14" ht="18" x14ac:dyDescent="0.35">
      <c r="A69" t="str">
        <f>IFERROR(B69&amp;" "&amp;COUNTIFS($B$4:B69,B69),"")</f>
        <v xml:space="preserve"> 0</v>
      </c>
      <c r="B69" s="169"/>
      <c r="C69" s="162"/>
      <c r="D69" s="162"/>
      <c r="E69" s="162"/>
      <c r="F69" s="163" t="str">
        <f t="shared" si="15"/>
        <v/>
      </c>
      <c r="G69" s="162"/>
      <c r="H69" s="162"/>
      <c r="I69" s="162"/>
      <c r="J69" s="164" t="str">
        <f t="shared" si="11"/>
        <v/>
      </c>
      <c r="K69" s="165" t="str">
        <f t="shared" si="12"/>
        <v/>
      </c>
      <c r="L69" s="165" t="str">
        <f t="shared" si="16"/>
        <v/>
      </c>
      <c r="M69" s="166" t="str">
        <f t="shared" si="13"/>
        <v/>
      </c>
      <c r="N69" s="167" t="str">
        <f t="shared" si="14"/>
        <v/>
      </c>
    </row>
    <row r="70" spans="1:14" ht="18" x14ac:dyDescent="0.35">
      <c r="A70" t="str">
        <f>IFERROR(B70&amp;" "&amp;COUNTIFS($B$4:B70,B70),"")</f>
        <v xml:space="preserve"> 0</v>
      </c>
      <c r="B70" s="169"/>
      <c r="C70" s="162"/>
      <c r="D70" s="162"/>
      <c r="E70" s="162"/>
      <c r="F70" s="163" t="str">
        <f t="shared" si="15"/>
        <v/>
      </c>
      <c r="G70" s="162"/>
      <c r="H70" s="162"/>
      <c r="I70" s="162"/>
      <c r="J70" s="164" t="str">
        <f t="shared" si="11"/>
        <v/>
      </c>
      <c r="K70" s="165" t="str">
        <f t="shared" si="12"/>
        <v/>
      </c>
      <c r="L70" s="165" t="str">
        <f t="shared" si="16"/>
        <v/>
      </c>
      <c r="M70" s="166" t="str">
        <f t="shared" si="13"/>
        <v/>
      </c>
      <c r="N70" s="167" t="str">
        <f t="shared" si="14"/>
        <v/>
      </c>
    </row>
    <row r="71" spans="1:14" ht="18" x14ac:dyDescent="0.35">
      <c r="A71" t="str">
        <f>IFERROR(B71&amp;" "&amp;COUNTIFS($B$4:B71,B71),"")</f>
        <v xml:space="preserve"> 0</v>
      </c>
      <c r="B71" s="169"/>
      <c r="C71" s="162"/>
      <c r="D71" s="162"/>
      <c r="E71" s="162"/>
      <c r="F71" s="163" t="str">
        <f t="shared" si="15"/>
        <v/>
      </c>
      <c r="G71" s="162"/>
      <c r="H71" s="162"/>
      <c r="I71" s="162"/>
      <c r="J71" s="164" t="str">
        <f t="shared" si="11"/>
        <v/>
      </c>
      <c r="K71" s="165" t="str">
        <f t="shared" si="12"/>
        <v/>
      </c>
      <c r="L71" s="165" t="str">
        <f t="shared" si="16"/>
        <v/>
      </c>
      <c r="M71" s="166" t="str">
        <f t="shared" si="13"/>
        <v/>
      </c>
      <c r="N71" s="167" t="str">
        <f t="shared" si="14"/>
        <v/>
      </c>
    </row>
    <row r="72" spans="1:14" ht="18" x14ac:dyDescent="0.35">
      <c r="A72" t="str">
        <f>IFERROR(B72&amp;" "&amp;COUNTIFS($B$4:B72,B72),"")</f>
        <v xml:space="preserve"> 0</v>
      </c>
      <c r="B72" s="169"/>
      <c r="C72" s="162"/>
      <c r="D72" s="162"/>
      <c r="E72" s="162"/>
      <c r="F72" s="163" t="str">
        <f t="shared" si="15"/>
        <v/>
      </c>
      <c r="G72" s="162"/>
      <c r="H72" s="162"/>
      <c r="I72" s="162"/>
      <c r="J72" s="164" t="str">
        <f t="shared" si="11"/>
        <v/>
      </c>
      <c r="K72" s="165" t="str">
        <f t="shared" si="12"/>
        <v/>
      </c>
      <c r="L72" s="165" t="str">
        <f t="shared" si="16"/>
        <v/>
      </c>
      <c r="M72" s="166" t="str">
        <f t="shared" si="13"/>
        <v/>
      </c>
      <c r="N72" s="167" t="str">
        <f t="shared" si="14"/>
        <v/>
      </c>
    </row>
    <row r="73" spans="1:14" ht="18" x14ac:dyDescent="0.35">
      <c r="A73" t="str">
        <f>IFERROR(B73&amp;" "&amp;COUNTIFS($B$4:B73,B73),"")</f>
        <v xml:space="preserve"> 0</v>
      </c>
      <c r="B73" s="169"/>
      <c r="C73" s="162"/>
      <c r="D73" s="162"/>
      <c r="E73" s="162"/>
      <c r="F73" s="163" t="str">
        <f t="shared" si="15"/>
        <v/>
      </c>
      <c r="G73" s="162"/>
      <c r="H73" s="162"/>
      <c r="I73" s="162"/>
      <c r="J73" s="164" t="str">
        <f t="shared" si="11"/>
        <v/>
      </c>
      <c r="K73" s="165" t="str">
        <f t="shared" si="12"/>
        <v/>
      </c>
      <c r="L73" s="165" t="str">
        <f t="shared" si="16"/>
        <v/>
      </c>
      <c r="M73" s="166" t="str">
        <f t="shared" si="13"/>
        <v/>
      </c>
      <c r="N73" s="167" t="str">
        <f t="shared" si="14"/>
        <v/>
      </c>
    </row>
    <row r="74" spans="1:14" ht="18" x14ac:dyDescent="0.35">
      <c r="A74" t="str">
        <f>IFERROR(B74&amp;" "&amp;COUNTIFS($B$4:B74,B74),"")</f>
        <v xml:space="preserve"> 0</v>
      </c>
      <c r="B74" s="169"/>
      <c r="C74" s="162"/>
      <c r="D74" s="162"/>
      <c r="E74" s="162"/>
      <c r="F74" s="163" t="str">
        <f t="shared" si="15"/>
        <v/>
      </c>
      <c r="G74" s="162"/>
      <c r="H74" s="162"/>
      <c r="I74" s="162"/>
      <c r="J74" s="164" t="str">
        <f t="shared" si="11"/>
        <v/>
      </c>
      <c r="K74" s="165" t="str">
        <f t="shared" si="12"/>
        <v/>
      </c>
      <c r="L74" s="165" t="str">
        <f t="shared" si="16"/>
        <v/>
      </c>
      <c r="M74" s="166" t="str">
        <f t="shared" si="13"/>
        <v/>
      </c>
      <c r="N74" s="167" t="str">
        <f t="shared" si="14"/>
        <v/>
      </c>
    </row>
    <row r="75" spans="1:14" ht="18" x14ac:dyDescent="0.35">
      <c r="A75" t="str">
        <f>IFERROR(B75&amp;" "&amp;COUNTIFS($B$4:B75,B75),"")</f>
        <v xml:space="preserve"> 0</v>
      </c>
      <c r="B75" s="169"/>
      <c r="C75" s="162"/>
      <c r="D75" s="162"/>
      <c r="E75" s="162"/>
      <c r="F75" s="163" t="str">
        <f t="shared" si="15"/>
        <v/>
      </c>
      <c r="G75" s="162"/>
      <c r="H75" s="162"/>
      <c r="I75" s="162"/>
      <c r="J75" s="164" t="str">
        <f t="shared" si="11"/>
        <v/>
      </c>
      <c r="K75" s="165" t="str">
        <f t="shared" si="12"/>
        <v/>
      </c>
      <c r="L75" s="165" t="str">
        <f t="shared" si="16"/>
        <v/>
      </c>
      <c r="M75" s="166" t="str">
        <f t="shared" si="13"/>
        <v/>
      </c>
      <c r="N75" s="167" t="str">
        <f t="shared" si="14"/>
        <v/>
      </c>
    </row>
    <row r="76" spans="1:14" ht="18" x14ac:dyDescent="0.35">
      <c r="A76" t="str">
        <f>IFERROR(B76&amp;" "&amp;COUNTIFS($B$4:B76,B76),"")</f>
        <v xml:space="preserve"> 0</v>
      </c>
      <c r="B76" s="169"/>
      <c r="C76" s="162"/>
      <c r="D76" s="162"/>
      <c r="E76" s="162"/>
      <c r="F76" s="163" t="str">
        <f t="shared" si="15"/>
        <v/>
      </c>
      <c r="G76" s="162"/>
      <c r="H76" s="162"/>
      <c r="I76" s="162"/>
      <c r="J76" s="164" t="str">
        <f t="shared" si="11"/>
        <v/>
      </c>
      <c r="K76" s="165" t="str">
        <f t="shared" si="12"/>
        <v/>
      </c>
      <c r="L76" s="165" t="str">
        <f t="shared" si="16"/>
        <v/>
      </c>
      <c r="M76" s="166" t="str">
        <f t="shared" si="13"/>
        <v/>
      </c>
      <c r="N76" s="167" t="str">
        <f t="shared" si="14"/>
        <v/>
      </c>
    </row>
    <row r="77" spans="1:14" ht="18" x14ac:dyDescent="0.35">
      <c r="A77" t="str">
        <f>IFERROR(B77&amp;" "&amp;COUNTIFS($B$4:B77,B77),"")</f>
        <v xml:space="preserve"> 0</v>
      </c>
      <c r="B77" s="169"/>
      <c r="C77" s="162"/>
      <c r="D77" s="162"/>
      <c r="E77" s="162"/>
      <c r="F77" s="163" t="str">
        <f t="shared" si="15"/>
        <v/>
      </c>
      <c r="G77" s="162"/>
      <c r="H77" s="162"/>
      <c r="I77" s="162"/>
      <c r="J77" s="164" t="str">
        <f t="shared" si="11"/>
        <v/>
      </c>
      <c r="K77" s="165" t="str">
        <f t="shared" si="12"/>
        <v/>
      </c>
      <c r="L77" s="165" t="str">
        <f t="shared" si="16"/>
        <v/>
      </c>
      <c r="M77" s="166" t="str">
        <f t="shared" si="13"/>
        <v/>
      </c>
      <c r="N77" s="167" t="str">
        <f t="shared" si="14"/>
        <v/>
      </c>
    </row>
    <row r="78" spans="1:14" ht="18" x14ac:dyDescent="0.35">
      <c r="A78" t="str">
        <f>IFERROR(B78&amp;" "&amp;COUNTIFS($B$4:B78,B78),"")</f>
        <v xml:space="preserve"> 0</v>
      </c>
      <c r="B78" s="169"/>
      <c r="C78" s="162"/>
      <c r="D78" s="162"/>
      <c r="E78" s="162"/>
      <c r="F78" s="163" t="str">
        <f t="shared" si="15"/>
        <v/>
      </c>
      <c r="G78" s="162"/>
      <c r="H78" s="162"/>
      <c r="I78" s="162"/>
      <c r="J78" s="164" t="str">
        <f t="shared" si="11"/>
        <v/>
      </c>
      <c r="K78" s="165" t="str">
        <f t="shared" si="12"/>
        <v/>
      </c>
      <c r="L78" s="165" t="str">
        <f t="shared" si="16"/>
        <v/>
      </c>
      <c r="M78" s="166" t="str">
        <f t="shared" si="13"/>
        <v/>
      </c>
      <c r="N78" s="167" t="str">
        <f t="shared" si="14"/>
        <v/>
      </c>
    </row>
    <row r="79" spans="1:14" ht="18" x14ac:dyDescent="0.35">
      <c r="A79" t="str">
        <f>IFERROR(B79&amp;" "&amp;COUNTIFS($B$4:B79,B79),"")</f>
        <v xml:space="preserve"> 0</v>
      </c>
      <c r="B79" s="169"/>
      <c r="C79" s="162"/>
      <c r="D79" s="162"/>
      <c r="E79" s="162"/>
      <c r="F79" s="163" t="str">
        <f t="shared" si="15"/>
        <v/>
      </c>
      <c r="G79" s="162"/>
      <c r="H79" s="162"/>
      <c r="I79" s="162"/>
      <c r="J79" s="164" t="str">
        <f t="shared" si="11"/>
        <v/>
      </c>
      <c r="K79" s="165" t="str">
        <f t="shared" si="12"/>
        <v/>
      </c>
      <c r="L79" s="165" t="str">
        <f t="shared" si="16"/>
        <v/>
      </c>
      <c r="M79" s="166" t="str">
        <f t="shared" si="13"/>
        <v/>
      </c>
      <c r="N79" s="167" t="str">
        <f t="shared" si="14"/>
        <v/>
      </c>
    </row>
    <row r="80" spans="1:14" ht="18" x14ac:dyDescent="0.35">
      <c r="A80" t="str">
        <f>IFERROR(B80&amp;" "&amp;COUNTIFS($B$4:B80,B80),"")</f>
        <v xml:space="preserve"> 0</v>
      </c>
      <c r="B80" s="169"/>
      <c r="C80" s="162"/>
      <c r="D80" s="162"/>
      <c r="E80" s="162"/>
      <c r="F80" s="163" t="str">
        <f t="shared" si="15"/>
        <v/>
      </c>
      <c r="G80" s="162"/>
      <c r="H80" s="162"/>
      <c r="I80" s="162"/>
      <c r="J80" s="164" t="str">
        <f t="shared" si="11"/>
        <v/>
      </c>
      <c r="K80" s="165" t="str">
        <f t="shared" si="12"/>
        <v/>
      </c>
      <c r="L80" s="165" t="str">
        <f t="shared" si="16"/>
        <v/>
      </c>
      <c r="M80" s="166" t="str">
        <f t="shared" si="13"/>
        <v/>
      </c>
      <c r="N80" s="167" t="str">
        <f t="shared" si="14"/>
        <v/>
      </c>
    </row>
    <row r="81" spans="1:14" ht="18" x14ac:dyDescent="0.35">
      <c r="A81" t="str">
        <f>IFERROR(B81&amp;" "&amp;COUNTIFS($B$4:B81,B81),"")</f>
        <v xml:space="preserve"> 0</v>
      </c>
      <c r="B81" s="169"/>
      <c r="C81" s="162"/>
      <c r="D81" s="162"/>
      <c r="E81" s="162"/>
      <c r="F81" s="163" t="str">
        <f t="shared" si="15"/>
        <v/>
      </c>
      <c r="G81" s="162"/>
      <c r="H81" s="162"/>
      <c r="I81" s="162"/>
      <c r="J81" s="164" t="str">
        <f t="shared" si="11"/>
        <v/>
      </c>
      <c r="K81" s="165" t="str">
        <f t="shared" si="12"/>
        <v/>
      </c>
      <c r="L81" s="165" t="str">
        <f t="shared" si="16"/>
        <v/>
      </c>
      <c r="M81" s="166" t="str">
        <f t="shared" si="13"/>
        <v/>
      </c>
      <c r="N81" s="167" t="str">
        <f t="shared" si="14"/>
        <v/>
      </c>
    </row>
    <row r="82" spans="1:14" ht="18" x14ac:dyDescent="0.35">
      <c r="A82" t="str">
        <f>IFERROR(B82&amp;" "&amp;COUNTIFS($B$4:B82,B82),"")</f>
        <v xml:space="preserve"> 0</v>
      </c>
      <c r="B82" s="169"/>
      <c r="C82" s="162"/>
      <c r="D82" s="162"/>
      <c r="E82" s="162"/>
      <c r="F82" s="163" t="str">
        <f t="shared" si="15"/>
        <v/>
      </c>
      <c r="G82" s="162"/>
      <c r="H82" s="162"/>
      <c r="I82" s="162"/>
      <c r="J82" s="164" t="str">
        <f t="shared" si="11"/>
        <v/>
      </c>
      <c r="K82" s="165" t="str">
        <f t="shared" si="12"/>
        <v/>
      </c>
      <c r="L82" s="165" t="str">
        <f t="shared" si="16"/>
        <v/>
      </c>
      <c r="M82" s="166" t="str">
        <f t="shared" si="13"/>
        <v/>
      </c>
      <c r="N82" s="167" t="str">
        <f t="shared" si="14"/>
        <v/>
      </c>
    </row>
    <row r="83" spans="1:14" ht="18" x14ac:dyDescent="0.35">
      <c r="A83" t="str">
        <f>IFERROR(B83&amp;" "&amp;COUNTIFS($B$4:B83,B83),"")</f>
        <v xml:space="preserve"> 0</v>
      </c>
      <c r="B83" s="169"/>
      <c r="C83" s="162"/>
      <c r="D83" s="162"/>
      <c r="E83" s="162"/>
      <c r="F83" s="163" t="str">
        <f t="shared" si="15"/>
        <v/>
      </c>
      <c r="G83" s="162"/>
      <c r="H83" s="162"/>
      <c r="I83" s="162"/>
      <c r="J83" s="164" t="str">
        <f t="shared" si="11"/>
        <v/>
      </c>
      <c r="K83" s="165" t="str">
        <f t="shared" si="12"/>
        <v/>
      </c>
      <c r="L83" s="165" t="str">
        <f t="shared" si="16"/>
        <v/>
      </c>
      <c r="M83" s="166" t="str">
        <f t="shared" si="13"/>
        <v/>
      </c>
      <c r="N83" s="167" t="str">
        <f t="shared" si="14"/>
        <v/>
      </c>
    </row>
    <row r="84" spans="1:14" ht="18" x14ac:dyDescent="0.35">
      <c r="A84" t="str">
        <f>IFERROR(B84&amp;" "&amp;COUNTIFS($B$4:B84,B84),"")</f>
        <v xml:space="preserve"> 0</v>
      </c>
      <c r="B84" s="169"/>
      <c r="C84" s="162"/>
      <c r="D84" s="162"/>
      <c r="E84" s="162"/>
      <c r="F84" s="163" t="str">
        <f t="shared" si="15"/>
        <v/>
      </c>
      <c r="G84" s="162"/>
      <c r="H84" s="162"/>
      <c r="I84" s="162"/>
      <c r="J84" s="164" t="str">
        <f t="shared" si="11"/>
        <v/>
      </c>
      <c r="K84" s="165" t="str">
        <f t="shared" si="12"/>
        <v/>
      </c>
      <c r="L84" s="165" t="str">
        <f t="shared" si="16"/>
        <v/>
      </c>
      <c r="M84" s="166" t="str">
        <f t="shared" si="13"/>
        <v/>
      </c>
      <c r="N84" s="167" t="str">
        <f t="shared" si="14"/>
        <v/>
      </c>
    </row>
    <row r="85" spans="1:14" ht="18" x14ac:dyDescent="0.35">
      <c r="A85" t="str">
        <f>IFERROR(B85&amp;" "&amp;COUNTIFS($B$4:B85,B85),"")</f>
        <v xml:space="preserve"> 0</v>
      </c>
      <c r="B85" s="169"/>
      <c r="C85" s="162"/>
      <c r="D85" s="162"/>
      <c r="E85" s="162"/>
      <c r="F85" s="163" t="str">
        <f t="shared" si="15"/>
        <v/>
      </c>
      <c r="G85" s="162"/>
      <c r="H85" s="162"/>
      <c r="I85" s="162"/>
      <c r="J85" s="164" t="str">
        <f t="shared" si="11"/>
        <v/>
      </c>
      <c r="K85" s="165" t="str">
        <f t="shared" si="12"/>
        <v/>
      </c>
      <c r="L85" s="165" t="str">
        <f t="shared" si="16"/>
        <v/>
      </c>
      <c r="M85" s="166" t="str">
        <f t="shared" si="13"/>
        <v/>
      </c>
      <c r="N85" s="167" t="str">
        <f t="shared" si="14"/>
        <v/>
      </c>
    </row>
    <row r="86" spans="1:14" ht="18" x14ac:dyDescent="0.35">
      <c r="A86" t="str">
        <f>IFERROR(B86&amp;" "&amp;COUNTIFS($B$4:B86,B86),"")</f>
        <v xml:space="preserve"> 0</v>
      </c>
      <c r="B86" s="169"/>
      <c r="C86" s="162"/>
      <c r="D86" s="162"/>
      <c r="E86" s="162"/>
      <c r="F86" s="163" t="str">
        <f t="shared" si="15"/>
        <v/>
      </c>
      <c r="G86" s="162"/>
      <c r="H86" s="162"/>
      <c r="I86" s="162"/>
      <c r="J86" s="164" t="str">
        <f t="shared" si="11"/>
        <v/>
      </c>
      <c r="K86" s="165" t="str">
        <f t="shared" si="12"/>
        <v/>
      </c>
      <c r="L86" s="165" t="str">
        <f t="shared" si="16"/>
        <v/>
      </c>
      <c r="M86" s="166" t="str">
        <f t="shared" si="13"/>
        <v/>
      </c>
      <c r="N86" s="167" t="str">
        <f t="shared" si="14"/>
        <v/>
      </c>
    </row>
    <row r="87" spans="1:14" ht="18" x14ac:dyDescent="0.35">
      <c r="A87" t="str">
        <f>IFERROR(B87&amp;" "&amp;COUNTIFS($B$4:B87,B87),"")</f>
        <v xml:space="preserve"> 0</v>
      </c>
      <c r="B87" s="169"/>
      <c r="C87" s="162"/>
      <c r="D87" s="162"/>
      <c r="E87" s="162"/>
      <c r="F87" s="163" t="str">
        <f t="shared" si="15"/>
        <v/>
      </c>
      <c r="G87" s="162"/>
      <c r="H87" s="162"/>
      <c r="I87" s="162"/>
      <c r="J87" s="164" t="str">
        <f t="shared" si="11"/>
        <v/>
      </c>
      <c r="K87" s="165" t="str">
        <f t="shared" si="12"/>
        <v/>
      </c>
      <c r="L87" s="165" t="str">
        <f t="shared" si="16"/>
        <v/>
      </c>
      <c r="M87" s="166" t="str">
        <f t="shared" si="13"/>
        <v/>
      </c>
      <c r="N87" s="167" t="str">
        <f t="shared" si="14"/>
        <v/>
      </c>
    </row>
    <row r="88" spans="1:14" ht="18" x14ac:dyDescent="0.35">
      <c r="A88" t="str">
        <f>IFERROR(B88&amp;" "&amp;COUNTIFS($B$4:B88,B88),"")</f>
        <v xml:space="preserve"> 0</v>
      </c>
      <c r="B88" s="169"/>
      <c r="C88" s="162"/>
      <c r="D88" s="162"/>
      <c r="E88" s="162"/>
      <c r="F88" s="163" t="str">
        <f t="shared" si="15"/>
        <v/>
      </c>
      <c r="G88" s="162"/>
      <c r="H88" s="162"/>
      <c r="I88" s="162"/>
      <c r="J88" s="164" t="str">
        <f t="shared" si="11"/>
        <v/>
      </c>
      <c r="K88" s="165" t="str">
        <f t="shared" si="12"/>
        <v/>
      </c>
      <c r="L88" s="165" t="str">
        <f t="shared" si="16"/>
        <v/>
      </c>
      <c r="M88" s="166" t="str">
        <f t="shared" si="13"/>
        <v/>
      </c>
      <c r="N88" s="167" t="str">
        <f t="shared" si="14"/>
        <v/>
      </c>
    </row>
    <row r="89" spans="1:14" ht="18" x14ac:dyDescent="0.35">
      <c r="A89" t="str">
        <f>IFERROR(B89&amp;" "&amp;COUNTIFS($B$4:B89,B89),"")</f>
        <v xml:space="preserve"> 0</v>
      </c>
      <c r="B89" s="169"/>
      <c r="C89" s="162"/>
      <c r="D89" s="162"/>
      <c r="E89" s="162"/>
      <c r="F89" s="163" t="str">
        <f t="shared" si="15"/>
        <v/>
      </c>
      <c r="G89" s="162"/>
      <c r="H89" s="162"/>
      <c r="I89" s="162"/>
      <c r="J89" s="164" t="str">
        <f t="shared" si="11"/>
        <v/>
      </c>
      <c r="K89" s="165" t="str">
        <f t="shared" si="12"/>
        <v/>
      </c>
      <c r="L89" s="165" t="str">
        <f t="shared" si="16"/>
        <v/>
      </c>
      <c r="M89" s="166" t="str">
        <f t="shared" si="13"/>
        <v/>
      </c>
      <c r="N89" s="167" t="str">
        <f t="shared" si="14"/>
        <v/>
      </c>
    </row>
    <row r="90" spans="1:14" ht="18" x14ac:dyDescent="0.35">
      <c r="A90" t="str">
        <f>IFERROR(B90&amp;" "&amp;COUNTIFS($B$4:B90,B90),"")</f>
        <v xml:space="preserve"> 0</v>
      </c>
      <c r="B90" s="169"/>
      <c r="C90" s="162"/>
      <c r="D90" s="162"/>
      <c r="E90" s="162"/>
      <c r="F90" s="163" t="str">
        <f t="shared" si="15"/>
        <v/>
      </c>
      <c r="G90" s="162"/>
      <c r="H90" s="162"/>
      <c r="I90" s="162"/>
      <c r="J90" s="164" t="str">
        <f t="shared" si="11"/>
        <v/>
      </c>
      <c r="K90" s="165" t="str">
        <f t="shared" si="12"/>
        <v/>
      </c>
      <c r="L90" s="165" t="str">
        <f t="shared" si="16"/>
        <v/>
      </c>
      <c r="M90" s="166" t="str">
        <f t="shared" si="13"/>
        <v/>
      </c>
      <c r="N90" s="167" t="str">
        <f t="shared" si="14"/>
        <v/>
      </c>
    </row>
    <row r="91" spans="1:14" ht="18" x14ac:dyDescent="0.35">
      <c r="A91" t="str">
        <f>IFERROR(B91&amp;" "&amp;COUNTIFS($B$4:B91,B91),"")</f>
        <v xml:space="preserve"> 0</v>
      </c>
      <c r="B91" s="169"/>
      <c r="C91" s="162"/>
      <c r="D91" s="162"/>
      <c r="E91" s="162"/>
      <c r="F91" s="163" t="str">
        <f t="shared" si="15"/>
        <v/>
      </c>
      <c r="G91" s="162"/>
      <c r="H91" s="162"/>
      <c r="I91" s="162"/>
      <c r="J91" s="164" t="str">
        <f t="shared" si="11"/>
        <v/>
      </c>
      <c r="K91" s="165" t="str">
        <f t="shared" si="12"/>
        <v/>
      </c>
      <c r="L91" s="165" t="str">
        <f t="shared" si="16"/>
        <v/>
      </c>
      <c r="M91" s="166" t="str">
        <f t="shared" si="13"/>
        <v/>
      </c>
      <c r="N91" s="167" t="str">
        <f t="shared" si="14"/>
        <v/>
      </c>
    </row>
    <row r="92" spans="1:14" ht="18" x14ac:dyDescent="0.35">
      <c r="A92" t="str">
        <f>IFERROR(B92&amp;" "&amp;COUNTIFS($B$4:B92,B92),"")</f>
        <v xml:space="preserve"> 0</v>
      </c>
      <c r="B92" s="169"/>
      <c r="C92" s="162"/>
      <c r="D92" s="162"/>
      <c r="E92" s="162"/>
      <c r="F92" s="163" t="str">
        <f t="shared" si="15"/>
        <v/>
      </c>
      <c r="G92" s="162"/>
      <c r="H92" s="162"/>
      <c r="I92" s="162"/>
      <c r="J92" s="164" t="str">
        <f t="shared" si="11"/>
        <v/>
      </c>
      <c r="K92" s="165" t="str">
        <f t="shared" si="12"/>
        <v/>
      </c>
      <c r="L92" s="165" t="str">
        <f t="shared" si="16"/>
        <v/>
      </c>
      <c r="M92" s="166" t="str">
        <f t="shared" si="13"/>
        <v/>
      </c>
      <c r="N92" s="167" t="str">
        <f t="shared" si="14"/>
        <v/>
      </c>
    </row>
    <row r="93" spans="1:14" ht="18" x14ac:dyDescent="0.35">
      <c r="A93" t="str">
        <f>IFERROR(B93&amp;" "&amp;COUNTIFS($B$4:B93,B93),"")</f>
        <v xml:space="preserve"> 0</v>
      </c>
      <c r="B93" s="169"/>
      <c r="C93" s="162"/>
      <c r="D93" s="162"/>
      <c r="E93" s="162"/>
      <c r="F93" s="163" t="str">
        <f t="shared" si="15"/>
        <v/>
      </c>
      <c r="G93" s="162"/>
      <c r="H93" s="162"/>
      <c r="I93" s="162"/>
      <c r="J93" s="164" t="str">
        <f t="shared" si="11"/>
        <v/>
      </c>
      <c r="K93" s="165" t="str">
        <f t="shared" si="12"/>
        <v/>
      </c>
      <c r="L93" s="165" t="str">
        <f t="shared" si="16"/>
        <v/>
      </c>
      <c r="M93" s="166" t="str">
        <f t="shared" si="13"/>
        <v/>
      </c>
      <c r="N93" s="167" t="str">
        <f t="shared" si="14"/>
        <v/>
      </c>
    </row>
    <row r="94" spans="1:14" ht="18" x14ac:dyDescent="0.35">
      <c r="A94" t="str">
        <f>IFERROR(B94&amp;" "&amp;COUNTIFS($B$4:B94,B94),"")</f>
        <v xml:space="preserve"> 0</v>
      </c>
      <c r="B94" s="169"/>
      <c r="C94" s="162"/>
      <c r="D94" s="162"/>
      <c r="E94" s="162"/>
      <c r="F94" s="163" t="str">
        <f t="shared" si="15"/>
        <v/>
      </c>
      <c r="G94" s="162"/>
      <c r="H94" s="162"/>
      <c r="I94" s="162"/>
      <c r="J94" s="164" t="str">
        <f t="shared" si="11"/>
        <v/>
      </c>
      <c r="K94" s="165" t="str">
        <f t="shared" si="12"/>
        <v/>
      </c>
      <c r="L94" s="165" t="str">
        <f t="shared" si="16"/>
        <v/>
      </c>
      <c r="M94" s="166" t="str">
        <f t="shared" si="13"/>
        <v/>
      </c>
      <c r="N94" s="167" t="str">
        <f t="shared" si="14"/>
        <v/>
      </c>
    </row>
    <row r="95" spans="1:14" ht="18" x14ac:dyDescent="0.35">
      <c r="A95" t="str">
        <f>IFERROR(B95&amp;" "&amp;COUNTIFS($B$4:B95,B95),"")</f>
        <v xml:space="preserve"> 0</v>
      </c>
      <c r="B95" s="169"/>
      <c r="C95" s="162"/>
      <c r="D95" s="162"/>
      <c r="E95" s="162"/>
      <c r="F95" s="163" t="str">
        <f t="shared" si="15"/>
        <v/>
      </c>
      <c r="G95" s="162"/>
      <c r="H95" s="162"/>
      <c r="I95" s="162"/>
      <c r="J95" s="164" t="str">
        <f t="shared" si="11"/>
        <v/>
      </c>
      <c r="K95" s="165" t="str">
        <f t="shared" si="12"/>
        <v/>
      </c>
      <c r="L95" s="165" t="str">
        <f t="shared" si="16"/>
        <v/>
      </c>
      <c r="M95" s="166" t="str">
        <f t="shared" si="13"/>
        <v/>
      </c>
      <c r="N95" s="167" t="str">
        <f t="shared" si="14"/>
        <v/>
      </c>
    </row>
    <row r="96" spans="1:14" ht="18" x14ac:dyDescent="0.35">
      <c r="A96" t="str">
        <f>IFERROR(B96&amp;" "&amp;COUNTIFS($B$4:B96,B96),"")</f>
        <v xml:space="preserve"> 0</v>
      </c>
      <c r="B96" s="169"/>
      <c r="C96" s="162"/>
      <c r="D96" s="162"/>
      <c r="E96" s="162"/>
      <c r="F96" s="163" t="str">
        <f t="shared" si="15"/>
        <v/>
      </c>
      <c r="G96" s="162"/>
      <c r="H96" s="162"/>
      <c r="I96" s="162"/>
      <c r="J96" s="164" t="str">
        <f t="shared" si="11"/>
        <v/>
      </c>
      <c r="K96" s="165" t="str">
        <f t="shared" si="12"/>
        <v/>
      </c>
      <c r="L96" s="165" t="str">
        <f t="shared" si="16"/>
        <v/>
      </c>
      <c r="M96" s="166" t="str">
        <f t="shared" si="13"/>
        <v/>
      </c>
      <c r="N96" s="167" t="str">
        <f t="shared" si="14"/>
        <v/>
      </c>
    </row>
    <row r="97" spans="1:14" ht="18" x14ac:dyDescent="0.35">
      <c r="A97" t="str">
        <f>IFERROR(B97&amp;" "&amp;COUNTIFS($B$4:B97,B97),"")</f>
        <v xml:space="preserve"> 0</v>
      </c>
      <c r="B97" s="169"/>
      <c r="C97" s="162"/>
      <c r="D97" s="162"/>
      <c r="E97" s="162"/>
      <c r="F97" s="163" t="str">
        <f t="shared" si="15"/>
        <v/>
      </c>
      <c r="G97" s="162"/>
      <c r="H97" s="162"/>
      <c r="I97" s="162"/>
      <c r="J97" s="164" t="str">
        <f t="shared" si="11"/>
        <v/>
      </c>
      <c r="K97" s="165" t="str">
        <f t="shared" si="12"/>
        <v/>
      </c>
      <c r="L97" s="165" t="str">
        <f t="shared" si="16"/>
        <v/>
      </c>
      <c r="M97" s="166" t="str">
        <f t="shared" si="13"/>
        <v/>
      </c>
      <c r="N97" s="167" t="str">
        <f t="shared" si="14"/>
        <v/>
      </c>
    </row>
    <row r="98" spans="1:14" ht="18" x14ac:dyDescent="0.35">
      <c r="A98" t="str">
        <f>IFERROR(B98&amp;" "&amp;COUNTIFS($B$4:B98,B98),"")</f>
        <v xml:space="preserve"> 0</v>
      </c>
      <c r="B98" s="169"/>
      <c r="C98" s="162"/>
      <c r="D98" s="162"/>
      <c r="E98" s="162"/>
      <c r="F98" s="163" t="str">
        <f t="shared" si="15"/>
        <v/>
      </c>
      <c r="G98" s="162"/>
      <c r="H98" s="162"/>
      <c r="I98" s="162"/>
      <c r="J98" s="164" t="str">
        <f t="shared" si="11"/>
        <v/>
      </c>
      <c r="K98" s="165" t="str">
        <f t="shared" si="12"/>
        <v/>
      </c>
      <c r="L98" s="165" t="str">
        <f t="shared" si="16"/>
        <v/>
      </c>
      <c r="M98" s="166" t="str">
        <f t="shared" si="13"/>
        <v/>
      </c>
      <c r="N98" s="167" t="str">
        <f t="shared" si="14"/>
        <v/>
      </c>
    </row>
    <row r="99" spans="1:14" ht="18" x14ac:dyDescent="0.35">
      <c r="A99" t="str">
        <f>IFERROR(B99&amp;" "&amp;COUNTIFS($B$4:B99,B99),"")</f>
        <v xml:space="preserve"> 0</v>
      </c>
      <c r="B99" s="169"/>
      <c r="C99" s="162"/>
      <c r="D99" s="162"/>
      <c r="E99" s="162"/>
      <c r="F99" s="163" t="str">
        <f t="shared" si="15"/>
        <v/>
      </c>
      <c r="G99" s="162"/>
      <c r="H99" s="162"/>
      <c r="I99" s="162"/>
      <c r="J99" s="164" t="str">
        <f t="shared" si="11"/>
        <v/>
      </c>
      <c r="K99" s="165" t="str">
        <f t="shared" si="12"/>
        <v/>
      </c>
      <c r="L99" s="165" t="str">
        <f t="shared" si="16"/>
        <v/>
      </c>
      <c r="M99" s="166" t="str">
        <f t="shared" si="13"/>
        <v/>
      </c>
      <c r="N99" s="167" t="str">
        <f t="shared" si="14"/>
        <v/>
      </c>
    </row>
    <row r="100" spans="1:14" ht="18" x14ac:dyDescent="0.35">
      <c r="A100" t="str">
        <f>IFERROR(B100&amp;" "&amp;COUNTIFS($B$4:B100,B100),"")</f>
        <v xml:space="preserve"> 0</v>
      </c>
      <c r="B100" s="169"/>
      <c r="C100" s="162"/>
      <c r="D100" s="162"/>
      <c r="E100" s="162"/>
      <c r="F100" s="163" t="str">
        <f t="shared" si="15"/>
        <v/>
      </c>
      <c r="G100" s="162"/>
      <c r="H100" s="162"/>
      <c r="I100" s="162"/>
      <c r="J100" s="164" t="str">
        <f t="shared" si="11"/>
        <v/>
      </c>
      <c r="K100" s="165" t="str">
        <f t="shared" si="12"/>
        <v/>
      </c>
      <c r="L100" s="165" t="str">
        <f t="shared" si="16"/>
        <v/>
      </c>
      <c r="M100" s="166" t="str">
        <f t="shared" si="13"/>
        <v/>
      </c>
      <c r="N100" s="167" t="str">
        <f t="shared" si="14"/>
        <v/>
      </c>
    </row>
    <row r="101" spans="1:14" ht="18" x14ac:dyDescent="0.35">
      <c r="A101" t="str">
        <f>IFERROR(B101&amp;" "&amp;COUNTIFS($B$4:B101,B101),"")</f>
        <v xml:space="preserve"> 0</v>
      </c>
      <c r="B101" s="169"/>
      <c r="C101" s="162"/>
      <c r="D101" s="162"/>
      <c r="E101" s="162"/>
      <c r="F101" s="163" t="str">
        <f t="shared" si="15"/>
        <v/>
      </c>
      <c r="G101" s="162"/>
      <c r="H101" s="162"/>
      <c r="I101" s="162"/>
      <c r="J101" s="164" t="str">
        <f t="shared" si="11"/>
        <v/>
      </c>
      <c r="K101" s="165" t="str">
        <f t="shared" si="12"/>
        <v/>
      </c>
      <c r="L101" s="165" t="str">
        <f t="shared" si="16"/>
        <v/>
      </c>
      <c r="M101" s="166" t="str">
        <f t="shared" si="13"/>
        <v/>
      </c>
      <c r="N101" s="167" t="str">
        <f t="shared" si="14"/>
        <v/>
      </c>
    </row>
    <row r="102" spans="1:14" ht="18" x14ac:dyDescent="0.35">
      <c r="A102" t="str">
        <f>IFERROR(B102&amp;" "&amp;COUNTIFS($B$4:B102,B102),"")</f>
        <v xml:space="preserve"> 0</v>
      </c>
      <c r="B102" s="169"/>
      <c r="C102" s="162"/>
      <c r="D102" s="162"/>
      <c r="E102" s="162"/>
      <c r="F102" s="163" t="str">
        <f t="shared" si="15"/>
        <v/>
      </c>
      <c r="G102" s="162"/>
      <c r="H102" s="162"/>
      <c r="I102" s="162"/>
      <c r="J102" s="164" t="str">
        <f t="shared" si="11"/>
        <v/>
      </c>
      <c r="K102" s="165" t="str">
        <f t="shared" si="12"/>
        <v/>
      </c>
      <c r="L102" s="165" t="str">
        <f t="shared" si="16"/>
        <v/>
      </c>
      <c r="M102" s="166" t="str">
        <f t="shared" si="13"/>
        <v/>
      </c>
      <c r="N102" s="167" t="str">
        <f t="shared" si="14"/>
        <v/>
      </c>
    </row>
    <row r="103" spans="1:14" ht="18" x14ac:dyDescent="0.35">
      <c r="A103" t="str">
        <f>IFERROR(B103&amp;" "&amp;COUNTIFS($B$4:B103,B103),"")</f>
        <v xml:space="preserve"> 0</v>
      </c>
      <c r="B103" s="169"/>
      <c r="C103" s="162"/>
      <c r="D103" s="162"/>
      <c r="E103" s="162"/>
      <c r="F103" s="163" t="str">
        <f t="shared" si="15"/>
        <v/>
      </c>
      <c r="G103" s="162"/>
      <c r="H103" s="162"/>
      <c r="I103" s="162"/>
      <c r="J103" s="164" t="str">
        <f t="shared" si="11"/>
        <v/>
      </c>
      <c r="K103" s="165" t="str">
        <f t="shared" si="12"/>
        <v/>
      </c>
      <c r="L103" s="165" t="str">
        <f t="shared" si="16"/>
        <v/>
      </c>
      <c r="M103" s="166" t="str">
        <f t="shared" si="13"/>
        <v/>
      </c>
      <c r="N103" s="167" t="str">
        <f t="shared" si="14"/>
        <v/>
      </c>
    </row>
    <row r="104" spans="1:14" ht="18" x14ac:dyDescent="0.35">
      <c r="A104" t="str">
        <f>IFERROR(B104&amp;" "&amp;COUNTIFS($B$4:B104,B104),"")</f>
        <v xml:space="preserve"> 0</v>
      </c>
      <c r="B104" s="169"/>
      <c r="C104" s="162"/>
      <c r="D104" s="162"/>
      <c r="E104" s="162"/>
      <c r="F104" s="163" t="str">
        <f t="shared" si="15"/>
        <v/>
      </c>
      <c r="G104" s="162"/>
      <c r="H104" s="162"/>
      <c r="I104" s="162"/>
      <c r="J104" s="164" t="str">
        <f t="shared" si="11"/>
        <v/>
      </c>
      <c r="K104" s="165" t="str">
        <f t="shared" si="12"/>
        <v/>
      </c>
      <c r="L104" s="165" t="str">
        <f t="shared" si="16"/>
        <v/>
      </c>
      <c r="M104" s="166" t="str">
        <f t="shared" si="13"/>
        <v/>
      </c>
      <c r="N104" s="167" t="str">
        <f t="shared" si="14"/>
        <v/>
      </c>
    </row>
    <row r="105" spans="1:14" ht="18" x14ac:dyDescent="0.35">
      <c r="A105" t="str">
        <f>IFERROR(B105&amp;" "&amp;COUNTIFS($B$4:B105,B105),"")</f>
        <v xml:space="preserve"> 0</v>
      </c>
      <c r="B105" s="169"/>
      <c r="C105" s="162"/>
      <c r="D105" s="162"/>
      <c r="E105" s="162"/>
      <c r="F105" s="163" t="str">
        <f t="shared" si="15"/>
        <v/>
      </c>
      <c r="G105" s="162"/>
      <c r="H105" s="162"/>
      <c r="I105" s="162"/>
      <c r="J105" s="164" t="str">
        <f t="shared" si="11"/>
        <v/>
      </c>
      <c r="K105" s="165" t="str">
        <f t="shared" si="12"/>
        <v/>
      </c>
      <c r="L105" s="165" t="str">
        <f t="shared" si="16"/>
        <v/>
      </c>
      <c r="M105" s="166" t="str">
        <f t="shared" si="13"/>
        <v/>
      </c>
      <c r="N105" s="167" t="str">
        <f t="shared" si="14"/>
        <v/>
      </c>
    </row>
    <row r="106" spans="1:14" ht="18" x14ac:dyDescent="0.35">
      <c r="A106" t="str">
        <f>IFERROR(B106&amp;" "&amp;COUNTIFS($B$4:B106,B106),"")</f>
        <v xml:space="preserve"> 0</v>
      </c>
      <c r="B106" s="169"/>
      <c r="C106" s="162"/>
      <c r="D106" s="162"/>
      <c r="E106" s="162"/>
      <c r="F106" s="163" t="str">
        <f t="shared" si="15"/>
        <v/>
      </c>
      <c r="G106" s="162"/>
      <c r="H106" s="162"/>
      <c r="I106" s="162"/>
      <c r="J106" s="164" t="str">
        <f t="shared" si="11"/>
        <v/>
      </c>
      <c r="K106" s="165" t="str">
        <f t="shared" si="12"/>
        <v/>
      </c>
      <c r="L106" s="165" t="str">
        <f t="shared" si="16"/>
        <v/>
      </c>
      <c r="M106" s="166" t="str">
        <f t="shared" si="13"/>
        <v/>
      </c>
      <c r="N106" s="167" t="str">
        <f t="shared" si="14"/>
        <v/>
      </c>
    </row>
    <row r="107" spans="1:14" ht="18" x14ac:dyDescent="0.35">
      <c r="A107" t="str">
        <f>IFERROR(B107&amp;" "&amp;COUNTIFS($B$4:B107,B107),"")</f>
        <v xml:space="preserve"> 0</v>
      </c>
      <c r="B107" s="169"/>
      <c r="C107" s="162"/>
      <c r="D107" s="162"/>
      <c r="E107" s="162"/>
      <c r="F107" s="163" t="str">
        <f t="shared" si="15"/>
        <v/>
      </c>
      <c r="G107" s="162"/>
      <c r="H107" s="162"/>
      <c r="I107" s="162"/>
      <c r="J107" s="164" t="str">
        <f t="shared" si="11"/>
        <v/>
      </c>
      <c r="K107" s="165" t="str">
        <f t="shared" si="12"/>
        <v/>
      </c>
      <c r="L107" s="165" t="str">
        <f t="shared" si="16"/>
        <v/>
      </c>
      <c r="M107" s="166" t="str">
        <f t="shared" si="13"/>
        <v/>
      </c>
      <c r="N107" s="167" t="str">
        <f t="shared" si="14"/>
        <v/>
      </c>
    </row>
    <row r="108" spans="1:14" ht="18" x14ac:dyDescent="0.35">
      <c r="A108" t="str">
        <f>IFERROR(B108&amp;" "&amp;COUNTIFS($B$4:B108,B108),"")</f>
        <v xml:space="preserve"> 0</v>
      </c>
      <c r="B108" s="169"/>
      <c r="C108" s="162"/>
      <c r="D108" s="162"/>
      <c r="E108" s="162"/>
      <c r="F108" s="163" t="str">
        <f t="shared" si="15"/>
        <v/>
      </c>
      <c r="G108" s="162"/>
      <c r="H108" s="162"/>
      <c r="I108" s="162"/>
      <c r="J108" s="164" t="str">
        <f t="shared" si="11"/>
        <v/>
      </c>
      <c r="K108" s="165" t="str">
        <f t="shared" si="12"/>
        <v/>
      </c>
      <c r="L108" s="165" t="str">
        <f t="shared" si="16"/>
        <v/>
      </c>
      <c r="M108" s="166" t="str">
        <f t="shared" si="13"/>
        <v/>
      </c>
      <c r="N108" s="167" t="str">
        <f t="shared" si="14"/>
        <v/>
      </c>
    </row>
    <row r="109" spans="1:14" ht="18" x14ac:dyDescent="0.35">
      <c r="A109" t="str">
        <f>IFERROR(B109&amp;" "&amp;COUNTIFS($B$4:B109,B109),"")</f>
        <v xml:space="preserve"> 0</v>
      </c>
      <c r="B109" s="169"/>
      <c r="C109" s="162"/>
      <c r="D109" s="162"/>
      <c r="E109" s="162"/>
      <c r="F109" s="163" t="str">
        <f t="shared" si="15"/>
        <v/>
      </c>
      <c r="G109" s="162"/>
      <c r="H109" s="162"/>
      <c r="I109" s="162"/>
      <c r="J109" s="164" t="str">
        <f t="shared" si="11"/>
        <v/>
      </c>
      <c r="K109" s="165" t="str">
        <f t="shared" si="12"/>
        <v/>
      </c>
      <c r="L109" s="165" t="str">
        <f t="shared" si="16"/>
        <v/>
      </c>
      <c r="M109" s="166" t="str">
        <f t="shared" si="13"/>
        <v/>
      </c>
      <c r="N109" s="167" t="str">
        <f t="shared" si="14"/>
        <v/>
      </c>
    </row>
    <row r="110" spans="1:14" ht="18" x14ac:dyDescent="0.35">
      <c r="A110" t="str">
        <f>IFERROR(B110&amp;" "&amp;COUNTIFS($B$4:B110,B110),"")</f>
        <v xml:space="preserve"> 0</v>
      </c>
      <c r="B110" s="169"/>
      <c r="C110" s="162"/>
      <c r="D110" s="162"/>
      <c r="E110" s="162"/>
      <c r="F110" s="163" t="str">
        <f t="shared" si="15"/>
        <v/>
      </c>
      <c r="G110" s="162"/>
      <c r="H110" s="162"/>
      <c r="I110" s="162"/>
      <c r="J110" s="164" t="str">
        <f t="shared" si="11"/>
        <v/>
      </c>
      <c r="K110" s="165" t="str">
        <f t="shared" si="12"/>
        <v/>
      </c>
      <c r="L110" s="165" t="str">
        <f t="shared" si="16"/>
        <v/>
      </c>
      <c r="M110" s="166" t="str">
        <f t="shared" si="13"/>
        <v/>
      </c>
      <c r="N110" s="167" t="str">
        <f t="shared" si="14"/>
        <v/>
      </c>
    </row>
    <row r="111" spans="1:14" ht="18" x14ac:dyDescent="0.35">
      <c r="A111" t="str">
        <f>IFERROR(B111&amp;" "&amp;COUNTIFS($B$4:B111,B111),"")</f>
        <v xml:space="preserve"> 0</v>
      </c>
      <c r="B111" s="169"/>
      <c r="C111" s="162"/>
      <c r="D111" s="162"/>
      <c r="E111" s="162"/>
      <c r="F111" s="163" t="str">
        <f t="shared" si="15"/>
        <v/>
      </c>
      <c r="G111" s="162"/>
      <c r="H111" s="162"/>
      <c r="I111" s="162"/>
      <c r="J111" s="164" t="str">
        <f t="shared" si="11"/>
        <v/>
      </c>
      <c r="K111" s="165" t="str">
        <f t="shared" si="12"/>
        <v/>
      </c>
      <c r="L111" s="165" t="str">
        <f t="shared" si="16"/>
        <v/>
      </c>
      <c r="M111" s="166" t="str">
        <f t="shared" si="13"/>
        <v/>
      </c>
      <c r="N111" s="167" t="str">
        <f t="shared" si="14"/>
        <v/>
      </c>
    </row>
    <row r="112" spans="1:14" ht="18" x14ac:dyDescent="0.35">
      <c r="A112" t="str">
        <f>IFERROR(B112&amp;" "&amp;COUNTIFS($B$4:B112,B112),"")</f>
        <v xml:space="preserve"> 0</v>
      </c>
      <c r="B112" s="169"/>
      <c r="C112" s="162"/>
      <c r="D112" s="162"/>
      <c r="E112" s="162"/>
      <c r="F112" s="163" t="str">
        <f t="shared" si="15"/>
        <v/>
      </c>
      <c r="G112" s="162"/>
      <c r="H112" s="162"/>
      <c r="I112" s="162"/>
      <c r="J112" s="164" t="str">
        <f t="shared" si="11"/>
        <v/>
      </c>
      <c r="K112" s="165" t="str">
        <f t="shared" si="12"/>
        <v/>
      </c>
      <c r="L112" s="165" t="str">
        <f t="shared" si="16"/>
        <v/>
      </c>
      <c r="M112" s="166" t="str">
        <f t="shared" si="13"/>
        <v/>
      </c>
      <c r="N112" s="167" t="str">
        <f t="shared" si="14"/>
        <v/>
      </c>
    </row>
    <row r="113" spans="1:14" ht="18" x14ac:dyDescent="0.35">
      <c r="A113" t="str">
        <f>IFERROR(B113&amp;" "&amp;COUNTIFS($B$4:B113,B113),"")</f>
        <v xml:space="preserve"> 0</v>
      </c>
      <c r="B113" s="169"/>
      <c r="C113" s="162"/>
      <c r="D113" s="162"/>
      <c r="E113" s="162"/>
      <c r="F113" s="163" t="str">
        <f t="shared" si="15"/>
        <v/>
      </c>
      <c r="G113" s="162"/>
      <c r="H113" s="162"/>
      <c r="I113" s="162"/>
      <c r="J113" s="164" t="str">
        <f t="shared" si="11"/>
        <v/>
      </c>
      <c r="K113" s="165" t="str">
        <f t="shared" si="12"/>
        <v/>
      </c>
      <c r="L113" s="165" t="str">
        <f t="shared" si="16"/>
        <v/>
      </c>
      <c r="M113" s="166" t="str">
        <f t="shared" si="13"/>
        <v/>
      </c>
      <c r="N113" s="167" t="str">
        <f t="shared" si="14"/>
        <v/>
      </c>
    </row>
    <row r="114" spans="1:14" ht="18" x14ac:dyDescent="0.35">
      <c r="A114" t="str">
        <f>IFERROR(B114&amp;" "&amp;COUNTIFS($B$4:B114,B114),"")</f>
        <v xml:space="preserve"> 0</v>
      </c>
      <c r="B114" s="169"/>
      <c r="C114" s="162"/>
      <c r="D114" s="162"/>
      <c r="E114" s="162"/>
      <c r="F114" s="163" t="str">
        <f t="shared" si="15"/>
        <v/>
      </c>
      <c r="G114" s="162"/>
      <c r="H114" s="162"/>
      <c r="I114" s="162"/>
      <c r="J114" s="164" t="str">
        <f t="shared" si="11"/>
        <v/>
      </c>
      <c r="K114" s="165" t="str">
        <f t="shared" si="12"/>
        <v/>
      </c>
      <c r="L114" s="165" t="str">
        <f t="shared" si="16"/>
        <v/>
      </c>
      <c r="M114" s="166" t="str">
        <f t="shared" si="13"/>
        <v/>
      </c>
      <c r="N114" s="167" t="str">
        <f t="shared" si="14"/>
        <v/>
      </c>
    </row>
    <row r="115" spans="1:14" ht="18" x14ac:dyDescent="0.35">
      <c r="A115" t="str">
        <f>IFERROR(B115&amp;" "&amp;COUNTIFS($B$4:B115,B115),"")</f>
        <v xml:space="preserve"> 0</v>
      </c>
      <c r="B115" s="169"/>
      <c r="C115" s="162"/>
      <c r="D115" s="162"/>
      <c r="E115" s="162"/>
      <c r="F115" s="163" t="str">
        <f t="shared" si="15"/>
        <v/>
      </c>
      <c r="G115" s="162"/>
      <c r="H115" s="162"/>
      <c r="I115" s="162"/>
      <c r="J115" s="164" t="str">
        <f t="shared" si="11"/>
        <v/>
      </c>
      <c r="K115" s="165" t="str">
        <f t="shared" si="12"/>
        <v/>
      </c>
      <c r="L115" s="165" t="str">
        <f t="shared" si="16"/>
        <v/>
      </c>
      <c r="M115" s="166" t="str">
        <f t="shared" si="13"/>
        <v/>
      </c>
      <c r="N115" s="167" t="str">
        <f t="shared" si="14"/>
        <v/>
      </c>
    </row>
    <row r="116" spans="1:14" ht="18" x14ac:dyDescent="0.35">
      <c r="A116" t="str">
        <f>IFERROR(B116&amp;" "&amp;COUNTIFS($B$4:B116,B116),"")</f>
        <v xml:space="preserve"> 0</v>
      </c>
      <c r="B116" s="169"/>
      <c r="C116" s="162"/>
      <c r="D116" s="162"/>
      <c r="E116" s="162"/>
      <c r="F116" s="163" t="str">
        <f t="shared" si="15"/>
        <v/>
      </c>
      <c r="G116" s="162"/>
      <c r="H116" s="162"/>
      <c r="I116" s="162"/>
      <c r="J116" s="164" t="str">
        <f t="shared" si="11"/>
        <v/>
      </c>
      <c r="K116" s="165" t="str">
        <f t="shared" si="12"/>
        <v/>
      </c>
      <c r="L116" s="165" t="str">
        <f t="shared" si="16"/>
        <v/>
      </c>
      <c r="M116" s="166" t="str">
        <f t="shared" si="13"/>
        <v/>
      </c>
      <c r="N116" s="167" t="str">
        <f t="shared" si="14"/>
        <v/>
      </c>
    </row>
    <row r="117" spans="1:14" ht="18" x14ac:dyDescent="0.35">
      <c r="A117" t="str">
        <f>IFERROR(B117&amp;" "&amp;COUNTIFS($B$4:B117,B117),"")</f>
        <v xml:space="preserve"> 0</v>
      </c>
      <c r="B117" s="169"/>
      <c r="C117" s="162"/>
      <c r="D117" s="162"/>
      <c r="E117" s="162"/>
      <c r="F117" s="163" t="str">
        <f t="shared" si="15"/>
        <v/>
      </c>
      <c r="G117" s="162"/>
      <c r="H117" s="162"/>
      <c r="I117" s="162"/>
      <c r="J117" s="164" t="str">
        <f t="shared" si="11"/>
        <v/>
      </c>
      <c r="K117" s="165" t="str">
        <f t="shared" si="12"/>
        <v/>
      </c>
      <c r="L117" s="165" t="str">
        <f t="shared" si="16"/>
        <v/>
      </c>
      <c r="M117" s="166" t="str">
        <f t="shared" si="13"/>
        <v/>
      </c>
      <c r="N117" s="167" t="str">
        <f t="shared" si="14"/>
        <v/>
      </c>
    </row>
    <row r="118" spans="1:14" ht="18" x14ac:dyDescent="0.35">
      <c r="A118" t="str">
        <f>IFERROR(B118&amp;" "&amp;COUNTIFS($B$4:B118,B118),"")</f>
        <v xml:space="preserve"> 0</v>
      </c>
      <c r="B118" s="169"/>
      <c r="C118" s="162"/>
      <c r="D118" s="162"/>
      <c r="E118" s="162"/>
      <c r="F118" s="163" t="str">
        <f t="shared" si="15"/>
        <v/>
      </c>
      <c r="G118" s="162"/>
      <c r="H118" s="162"/>
      <c r="I118" s="162"/>
      <c r="J118" s="164" t="str">
        <f t="shared" si="11"/>
        <v/>
      </c>
      <c r="K118" s="165" t="str">
        <f t="shared" si="12"/>
        <v/>
      </c>
      <c r="L118" s="165" t="str">
        <f t="shared" si="16"/>
        <v/>
      </c>
      <c r="M118" s="166" t="str">
        <f t="shared" si="13"/>
        <v/>
      </c>
      <c r="N118" s="167" t="str">
        <f t="shared" si="14"/>
        <v/>
      </c>
    </row>
    <row r="119" spans="1:14" ht="18" x14ac:dyDescent="0.35">
      <c r="A119" t="str">
        <f>IFERROR(B119&amp;" "&amp;COUNTIFS($B$4:B119,B119),"")</f>
        <v xml:space="preserve"> 0</v>
      </c>
      <c r="B119" s="169"/>
      <c r="C119" s="162"/>
      <c r="D119" s="162"/>
      <c r="E119" s="162"/>
      <c r="F119" s="163" t="str">
        <f t="shared" si="15"/>
        <v/>
      </c>
      <c r="G119" s="162"/>
      <c r="H119" s="162"/>
      <c r="I119" s="162"/>
      <c r="J119" s="164" t="str">
        <f t="shared" si="11"/>
        <v/>
      </c>
      <c r="K119" s="165" t="str">
        <f t="shared" si="12"/>
        <v/>
      </c>
      <c r="L119" s="165" t="str">
        <f t="shared" si="16"/>
        <v/>
      </c>
      <c r="M119" s="166" t="str">
        <f t="shared" si="13"/>
        <v/>
      </c>
      <c r="N119" s="167" t="str">
        <f t="shared" si="14"/>
        <v/>
      </c>
    </row>
    <row r="120" spans="1:14" ht="18" x14ac:dyDescent="0.35">
      <c r="A120" t="str">
        <f>IFERROR(B120&amp;" "&amp;COUNTIFS($B$4:B120,B120),"")</f>
        <v xml:space="preserve"> 0</v>
      </c>
      <c r="B120" s="169"/>
      <c r="C120" s="162"/>
      <c r="D120" s="162"/>
      <c r="E120" s="162"/>
      <c r="F120" s="163" t="str">
        <f t="shared" si="15"/>
        <v/>
      </c>
      <c r="G120" s="162"/>
      <c r="H120" s="162"/>
      <c r="I120" s="162"/>
      <c r="J120" s="164" t="str">
        <f t="shared" si="11"/>
        <v/>
      </c>
      <c r="K120" s="165" t="str">
        <f t="shared" si="12"/>
        <v/>
      </c>
      <c r="L120" s="165" t="str">
        <f t="shared" si="16"/>
        <v/>
      </c>
      <c r="M120" s="166" t="str">
        <f t="shared" si="13"/>
        <v/>
      </c>
      <c r="N120" s="167" t="str">
        <f t="shared" si="14"/>
        <v/>
      </c>
    </row>
    <row r="121" spans="1:14" ht="18" x14ac:dyDescent="0.35">
      <c r="A121" t="str">
        <f>IFERROR(B121&amp;" "&amp;COUNTIFS($B$4:B121,B121),"")</f>
        <v xml:space="preserve"> 0</v>
      </c>
      <c r="B121" s="169"/>
      <c r="C121" s="162"/>
      <c r="D121" s="162"/>
      <c r="E121" s="162"/>
      <c r="F121" s="163" t="str">
        <f t="shared" si="15"/>
        <v/>
      </c>
      <c r="G121" s="162"/>
      <c r="H121" s="162"/>
      <c r="I121" s="162"/>
      <c r="J121" s="164" t="str">
        <f t="shared" si="11"/>
        <v/>
      </c>
      <c r="K121" s="165" t="str">
        <f t="shared" si="12"/>
        <v/>
      </c>
      <c r="L121" s="165" t="str">
        <f t="shared" si="16"/>
        <v/>
      </c>
      <c r="M121" s="166" t="str">
        <f t="shared" si="13"/>
        <v/>
      </c>
      <c r="N121" s="167" t="str">
        <f t="shared" si="14"/>
        <v/>
      </c>
    </row>
    <row r="122" spans="1:14" ht="18" x14ac:dyDescent="0.35">
      <c r="A122" t="str">
        <f>IFERROR(B122&amp;" "&amp;COUNTIFS($B$4:B122,B122),"")</f>
        <v xml:space="preserve"> 0</v>
      </c>
      <c r="B122" s="169"/>
      <c r="C122" s="162"/>
      <c r="D122" s="162"/>
      <c r="E122" s="162"/>
      <c r="F122" s="163" t="str">
        <f t="shared" si="15"/>
        <v/>
      </c>
      <c r="G122" s="162"/>
      <c r="H122" s="162"/>
      <c r="I122" s="162"/>
      <c r="J122" s="164" t="str">
        <f t="shared" si="11"/>
        <v/>
      </c>
      <c r="K122" s="165" t="str">
        <f t="shared" si="12"/>
        <v/>
      </c>
      <c r="L122" s="165" t="str">
        <f t="shared" si="16"/>
        <v/>
      </c>
      <c r="M122" s="166" t="str">
        <f t="shared" si="13"/>
        <v/>
      </c>
      <c r="N122" s="167" t="str">
        <f t="shared" si="14"/>
        <v/>
      </c>
    </row>
    <row r="123" spans="1:14" ht="18" x14ac:dyDescent="0.35">
      <c r="A123" t="str">
        <f>IFERROR(B123&amp;" "&amp;COUNTIFS($B$4:B123,B123),"")</f>
        <v xml:space="preserve"> 0</v>
      </c>
      <c r="B123" s="169"/>
      <c r="C123" s="162"/>
      <c r="D123" s="162"/>
      <c r="E123" s="162"/>
      <c r="F123" s="163" t="str">
        <f t="shared" si="15"/>
        <v/>
      </c>
      <c r="G123" s="162"/>
      <c r="H123" s="162"/>
      <c r="I123" s="162"/>
      <c r="J123" s="164" t="str">
        <f t="shared" ref="J123:J186" si="17">IFERROR(VLOOKUP(B123,data_kas3,12,FALSE),"")</f>
        <v/>
      </c>
      <c r="K123" s="165" t="str">
        <f t="shared" ref="K123:K186" si="18">IFERROR(VLOOKUP(B123,data_kas3,3,FALSE),"")</f>
        <v/>
      </c>
      <c r="L123" s="165" t="str">
        <f t="shared" si="16"/>
        <v/>
      </c>
      <c r="M123" s="166" t="str">
        <f t="shared" ref="M123:M186" si="19">IFERROR(VLOOKUP(B123,data_kas3,5,FALSE),"")</f>
        <v/>
      </c>
      <c r="N123" s="167" t="str">
        <f t="shared" si="14"/>
        <v/>
      </c>
    </row>
    <row r="124" spans="1:14" ht="18" x14ac:dyDescent="0.35">
      <c r="A124" t="str">
        <f>IFERROR(B124&amp;" "&amp;COUNTIFS($B$4:B124,B124),"")</f>
        <v xml:space="preserve"> 0</v>
      </c>
      <c r="B124" s="169"/>
      <c r="C124" s="162"/>
      <c r="D124" s="162"/>
      <c r="E124" s="162"/>
      <c r="F124" s="163" t="str">
        <f t="shared" si="15"/>
        <v/>
      </c>
      <c r="G124" s="162"/>
      <c r="H124" s="162"/>
      <c r="I124" s="162"/>
      <c r="J124" s="164" t="str">
        <f t="shared" si="17"/>
        <v/>
      </c>
      <c r="K124" s="165" t="str">
        <f t="shared" si="18"/>
        <v/>
      </c>
      <c r="L124" s="165" t="str">
        <f t="shared" si="16"/>
        <v/>
      </c>
      <c r="M124" s="166" t="str">
        <f t="shared" si="19"/>
        <v/>
      </c>
      <c r="N124" s="167" t="str">
        <f t="shared" ref="N124:N187" si="20">IF(K124="","",K124*M124)</f>
        <v/>
      </c>
    </row>
    <row r="125" spans="1:14" ht="18" x14ac:dyDescent="0.35">
      <c r="A125" t="str">
        <f>IFERROR(B125&amp;" "&amp;COUNTIFS($B$4:B125,B125),"")</f>
        <v xml:space="preserve"> 0</v>
      </c>
      <c r="B125" s="169"/>
      <c r="C125" s="162"/>
      <c r="D125" s="162"/>
      <c r="E125" s="162"/>
      <c r="F125" s="163" t="str">
        <f t="shared" si="15"/>
        <v/>
      </c>
      <c r="G125" s="162"/>
      <c r="H125" s="162"/>
      <c r="I125" s="162"/>
      <c r="J125" s="164" t="str">
        <f t="shared" si="17"/>
        <v/>
      </c>
      <c r="K125" s="165" t="str">
        <f t="shared" si="18"/>
        <v/>
      </c>
      <c r="L125" s="165" t="str">
        <f t="shared" si="16"/>
        <v/>
      </c>
      <c r="M125" s="166" t="str">
        <f t="shared" si="19"/>
        <v/>
      </c>
      <c r="N125" s="167" t="str">
        <f t="shared" si="20"/>
        <v/>
      </c>
    </row>
    <row r="126" spans="1:14" ht="18" x14ac:dyDescent="0.35">
      <c r="A126" t="str">
        <f>IFERROR(B126&amp;" "&amp;COUNTIFS($B$4:B126,B126),"")</f>
        <v xml:space="preserve"> 0</v>
      </c>
      <c r="B126" s="169"/>
      <c r="C126" s="162"/>
      <c r="D126" s="162"/>
      <c r="E126" s="162"/>
      <c r="F126" s="163" t="str">
        <f t="shared" si="15"/>
        <v/>
      </c>
      <c r="G126" s="162"/>
      <c r="H126" s="162"/>
      <c r="I126" s="162"/>
      <c r="J126" s="164" t="str">
        <f t="shared" si="17"/>
        <v/>
      </c>
      <c r="K126" s="165" t="str">
        <f t="shared" si="18"/>
        <v/>
      </c>
      <c r="L126" s="165" t="str">
        <f t="shared" si="16"/>
        <v/>
      </c>
      <c r="M126" s="166" t="str">
        <f t="shared" si="19"/>
        <v/>
      </c>
      <c r="N126" s="167" t="str">
        <f t="shared" si="20"/>
        <v/>
      </c>
    </row>
    <row r="127" spans="1:14" ht="18" x14ac:dyDescent="0.35">
      <c r="A127" t="str">
        <f>IFERROR(B127&amp;" "&amp;COUNTIFS($B$4:B127,B127),"")</f>
        <v xml:space="preserve"> 0</v>
      </c>
      <c r="B127" s="169"/>
      <c r="C127" s="162"/>
      <c r="D127" s="162"/>
      <c r="E127" s="162"/>
      <c r="F127" s="163" t="str">
        <f t="shared" si="15"/>
        <v/>
      </c>
      <c r="G127" s="162"/>
      <c r="H127" s="162"/>
      <c r="I127" s="162"/>
      <c r="J127" s="164" t="str">
        <f t="shared" si="17"/>
        <v/>
      </c>
      <c r="K127" s="165" t="str">
        <f t="shared" si="18"/>
        <v/>
      </c>
      <c r="L127" s="165" t="str">
        <f t="shared" si="16"/>
        <v/>
      </c>
      <c r="M127" s="166" t="str">
        <f t="shared" si="19"/>
        <v/>
      </c>
      <c r="N127" s="167" t="str">
        <f t="shared" si="20"/>
        <v/>
      </c>
    </row>
    <row r="128" spans="1:14" ht="18" x14ac:dyDescent="0.35">
      <c r="A128" t="str">
        <f>IFERROR(B128&amp;" "&amp;COUNTIFS($B$4:B128,B128),"")</f>
        <v xml:space="preserve"> 0</v>
      </c>
      <c r="B128" s="169"/>
      <c r="C128" s="162"/>
      <c r="D128" s="162"/>
      <c r="E128" s="162"/>
      <c r="F128" s="163" t="str">
        <f t="shared" si="15"/>
        <v/>
      </c>
      <c r="G128" s="162"/>
      <c r="H128" s="162"/>
      <c r="I128" s="162"/>
      <c r="J128" s="164" t="str">
        <f t="shared" si="17"/>
        <v/>
      </c>
      <c r="K128" s="165" t="str">
        <f t="shared" si="18"/>
        <v/>
      </c>
      <c r="L128" s="165" t="str">
        <f t="shared" si="16"/>
        <v/>
      </c>
      <c r="M128" s="166" t="str">
        <f t="shared" si="19"/>
        <v/>
      </c>
      <c r="N128" s="167" t="str">
        <f t="shared" si="20"/>
        <v/>
      </c>
    </row>
    <row r="129" spans="1:14" ht="18" x14ac:dyDescent="0.35">
      <c r="A129" t="str">
        <f>IFERROR(B129&amp;" "&amp;COUNTIFS($B$4:B129,B129),"")</f>
        <v xml:space="preserve"> 0</v>
      </c>
      <c r="B129" s="169"/>
      <c r="C129" s="162"/>
      <c r="D129" s="162"/>
      <c r="E129" s="162"/>
      <c r="F129" s="163" t="str">
        <f t="shared" si="15"/>
        <v/>
      </c>
      <c r="G129" s="162"/>
      <c r="H129" s="162"/>
      <c r="I129" s="162"/>
      <c r="J129" s="164" t="str">
        <f t="shared" si="17"/>
        <v/>
      </c>
      <c r="K129" s="165" t="str">
        <f t="shared" si="18"/>
        <v/>
      </c>
      <c r="L129" s="165" t="str">
        <f t="shared" si="16"/>
        <v/>
      </c>
      <c r="M129" s="166" t="str">
        <f t="shared" si="19"/>
        <v/>
      </c>
      <c r="N129" s="167" t="str">
        <f t="shared" si="20"/>
        <v/>
      </c>
    </row>
    <row r="130" spans="1:14" ht="18" x14ac:dyDescent="0.35">
      <c r="A130" t="str">
        <f>IFERROR(B130&amp;" "&amp;COUNTIFS($B$4:B130,B130),"")</f>
        <v xml:space="preserve"> 0</v>
      </c>
      <c r="B130" s="169"/>
      <c r="C130" s="162"/>
      <c r="D130" s="162"/>
      <c r="E130" s="162"/>
      <c r="F130" s="163" t="str">
        <f t="shared" si="15"/>
        <v/>
      </c>
      <c r="G130" s="162"/>
      <c r="H130" s="162"/>
      <c r="I130" s="162"/>
      <c r="J130" s="164" t="str">
        <f t="shared" si="17"/>
        <v/>
      </c>
      <c r="K130" s="165" t="str">
        <f t="shared" si="18"/>
        <v/>
      </c>
      <c r="L130" s="165" t="str">
        <f t="shared" si="16"/>
        <v/>
      </c>
      <c r="M130" s="166" t="str">
        <f t="shared" si="19"/>
        <v/>
      </c>
      <c r="N130" s="167" t="str">
        <f t="shared" si="20"/>
        <v/>
      </c>
    </row>
    <row r="131" spans="1:14" ht="18" x14ac:dyDescent="0.35">
      <c r="A131" t="str">
        <f>IFERROR(B131&amp;" "&amp;COUNTIFS($B$4:B131,B131),"")</f>
        <v xml:space="preserve"> 0</v>
      </c>
      <c r="B131" s="169"/>
      <c r="C131" s="162"/>
      <c r="D131" s="162"/>
      <c r="E131" s="162"/>
      <c r="F131" s="163" t="str">
        <f t="shared" si="15"/>
        <v/>
      </c>
      <c r="G131" s="162"/>
      <c r="H131" s="162"/>
      <c r="I131" s="162"/>
      <c r="J131" s="164" t="str">
        <f t="shared" si="17"/>
        <v/>
      </c>
      <c r="K131" s="165" t="str">
        <f t="shared" si="18"/>
        <v/>
      </c>
      <c r="L131" s="165" t="str">
        <f t="shared" si="16"/>
        <v/>
      </c>
      <c r="M131" s="166" t="str">
        <f t="shared" si="19"/>
        <v/>
      </c>
      <c r="N131" s="167" t="str">
        <f t="shared" si="20"/>
        <v/>
      </c>
    </row>
    <row r="132" spans="1:14" ht="18" x14ac:dyDescent="0.35">
      <c r="A132" t="str">
        <f>IFERROR(B132&amp;" "&amp;COUNTIFS($B$4:B132,B132),"")</f>
        <v xml:space="preserve"> 0</v>
      </c>
      <c r="B132" s="169"/>
      <c r="C132" s="162"/>
      <c r="D132" s="162"/>
      <c r="E132" s="162"/>
      <c r="F132" s="163" t="str">
        <f t="shared" ref="F132:F195" si="21">IFERROR(VLOOKUP(E132,data_guru,3,FALSE),"")</f>
        <v/>
      </c>
      <c r="G132" s="162"/>
      <c r="H132" s="162"/>
      <c r="I132" s="162"/>
      <c r="J132" s="164" t="str">
        <f t="shared" si="17"/>
        <v/>
      </c>
      <c r="K132" s="165" t="str">
        <f t="shared" si="18"/>
        <v/>
      </c>
      <c r="L132" s="165" t="str">
        <f t="shared" ref="L132:L195" si="22">IFERROR(VLOOKUP(B132,data_kas3,4,FALSE),"")</f>
        <v/>
      </c>
      <c r="M132" s="166" t="str">
        <f t="shared" si="19"/>
        <v/>
      </c>
      <c r="N132" s="167" t="str">
        <f t="shared" si="20"/>
        <v/>
      </c>
    </row>
    <row r="133" spans="1:14" ht="18" x14ac:dyDescent="0.35">
      <c r="A133" t="str">
        <f>IFERROR(B133&amp;" "&amp;COUNTIFS($B$4:B133,B133),"")</f>
        <v xml:space="preserve"> 0</v>
      </c>
      <c r="B133" s="169"/>
      <c r="C133" s="162"/>
      <c r="D133" s="162"/>
      <c r="E133" s="162"/>
      <c r="F133" s="163" t="str">
        <f t="shared" si="21"/>
        <v/>
      </c>
      <c r="G133" s="162"/>
      <c r="H133" s="162"/>
      <c r="I133" s="162"/>
      <c r="J133" s="164" t="str">
        <f t="shared" si="17"/>
        <v/>
      </c>
      <c r="K133" s="165" t="str">
        <f t="shared" si="18"/>
        <v/>
      </c>
      <c r="L133" s="165" t="str">
        <f t="shared" si="22"/>
        <v/>
      </c>
      <c r="M133" s="166" t="str">
        <f t="shared" si="19"/>
        <v/>
      </c>
      <c r="N133" s="167" t="str">
        <f t="shared" si="20"/>
        <v/>
      </c>
    </row>
    <row r="134" spans="1:14" ht="18" x14ac:dyDescent="0.35">
      <c r="A134" t="str">
        <f>IFERROR(B134&amp;" "&amp;COUNTIFS($B$4:B134,B134),"")</f>
        <v xml:space="preserve"> 0</v>
      </c>
      <c r="B134" s="169"/>
      <c r="C134" s="162"/>
      <c r="D134" s="162"/>
      <c r="E134" s="162"/>
      <c r="F134" s="163" t="str">
        <f t="shared" si="21"/>
        <v/>
      </c>
      <c r="G134" s="162"/>
      <c r="H134" s="162"/>
      <c r="I134" s="162"/>
      <c r="J134" s="164" t="str">
        <f t="shared" si="17"/>
        <v/>
      </c>
      <c r="K134" s="165" t="str">
        <f t="shared" si="18"/>
        <v/>
      </c>
      <c r="L134" s="165" t="str">
        <f t="shared" si="22"/>
        <v/>
      </c>
      <c r="M134" s="166" t="str">
        <f t="shared" si="19"/>
        <v/>
      </c>
      <c r="N134" s="167" t="str">
        <f t="shared" si="20"/>
        <v/>
      </c>
    </row>
    <row r="135" spans="1:14" ht="18" x14ac:dyDescent="0.35">
      <c r="A135" t="str">
        <f>IFERROR(B135&amp;" "&amp;COUNTIFS($B$4:B135,B135),"")</f>
        <v xml:space="preserve"> 0</v>
      </c>
      <c r="B135" s="169"/>
      <c r="C135" s="162"/>
      <c r="D135" s="162"/>
      <c r="E135" s="162"/>
      <c r="F135" s="163" t="str">
        <f t="shared" si="21"/>
        <v/>
      </c>
      <c r="G135" s="162"/>
      <c r="H135" s="162"/>
      <c r="I135" s="162"/>
      <c r="J135" s="164" t="str">
        <f t="shared" si="17"/>
        <v/>
      </c>
      <c r="K135" s="165" t="str">
        <f t="shared" si="18"/>
        <v/>
      </c>
      <c r="L135" s="165" t="str">
        <f t="shared" si="22"/>
        <v/>
      </c>
      <c r="M135" s="166" t="str">
        <f t="shared" si="19"/>
        <v/>
      </c>
      <c r="N135" s="167" t="str">
        <f t="shared" si="20"/>
        <v/>
      </c>
    </row>
    <row r="136" spans="1:14" ht="18" x14ac:dyDescent="0.35">
      <c r="A136" t="str">
        <f>IFERROR(B136&amp;" "&amp;COUNTIFS($B$4:B136,B136),"")</f>
        <v xml:space="preserve"> 0</v>
      </c>
      <c r="B136" s="169"/>
      <c r="C136" s="162"/>
      <c r="D136" s="162"/>
      <c r="E136" s="162"/>
      <c r="F136" s="163" t="str">
        <f t="shared" si="21"/>
        <v/>
      </c>
      <c r="G136" s="162"/>
      <c r="H136" s="162"/>
      <c r="I136" s="162"/>
      <c r="J136" s="164" t="str">
        <f t="shared" si="17"/>
        <v/>
      </c>
      <c r="K136" s="165" t="str">
        <f t="shared" si="18"/>
        <v/>
      </c>
      <c r="L136" s="165" t="str">
        <f t="shared" si="22"/>
        <v/>
      </c>
      <c r="M136" s="166" t="str">
        <f t="shared" si="19"/>
        <v/>
      </c>
      <c r="N136" s="167" t="str">
        <f t="shared" si="20"/>
        <v/>
      </c>
    </row>
    <row r="137" spans="1:14" ht="18" x14ac:dyDescent="0.35">
      <c r="A137" t="str">
        <f>IFERROR(B137&amp;" "&amp;COUNTIFS($B$4:B137,B137),"")</f>
        <v xml:space="preserve"> 0</v>
      </c>
      <c r="B137" s="169"/>
      <c r="C137" s="162"/>
      <c r="D137" s="162"/>
      <c r="E137" s="162"/>
      <c r="F137" s="163" t="str">
        <f t="shared" si="21"/>
        <v/>
      </c>
      <c r="G137" s="162"/>
      <c r="H137" s="162"/>
      <c r="I137" s="162"/>
      <c r="J137" s="164" t="str">
        <f t="shared" si="17"/>
        <v/>
      </c>
      <c r="K137" s="165" t="str">
        <f t="shared" si="18"/>
        <v/>
      </c>
      <c r="L137" s="165" t="str">
        <f t="shared" si="22"/>
        <v/>
      </c>
      <c r="M137" s="166" t="str">
        <f t="shared" si="19"/>
        <v/>
      </c>
      <c r="N137" s="167" t="str">
        <f t="shared" si="20"/>
        <v/>
      </c>
    </row>
    <row r="138" spans="1:14" ht="18" x14ac:dyDescent="0.35">
      <c r="A138" t="str">
        <f>IFERROR(B138&amp;" "&amp;COUNTIFS($B$4:B138,B138),"")</f>
        <v xml:space="preserve"> 0</v>
      </c>
      <c r="B138" s="169"/>
      <c r="C138" s="162"/>
      <c r="D138" s="162"/>
      <c r="E138" s="162"/>
      <c r="F138" s="163" t="str">
        <f t="shared" si="21"/>
        <v/>
      </c>
      <c r="G138" s="162"/>
      <c r="H138" s="162"/>
      <c r="I138" s="162"/>
      <c r="J138" s="164" t="str">
        <f t="shared" si="17"/>
        <v/>
      </c>
      <c r="K138" s="165" t="str">
        <f t="shared" si="18"/>
        <v/>
      </c>
      <c r="L138" s="165" t="str">
        <f t="shared" si="22"/>
        <v/>
      </c>
      <c r="M138" s="166" t="str">
        <f t="shared" si="19"/>
        <v/>
      </c>
      <c r="N138" s="167" t="str">
        <f t="shared" si="20"/>
        <v/>
      </c>
    </row>
    <row r="139" spans="1:14" ht="18" x14ac:dyDescent="0.35">
      <c r="A139" t="str">
        <f>IFERROR(B139&amp;" "&amp;COUNTIFS($B$4:B139,B139),"")</f>
        <v xml:space="preserve"> 0</v>
      </c>
      <c r="B139" s="169"/>
      <c r="C139" s="162"/>
      <c r="D139" s="162"/>
      <c r="E139" s="162"/>
      <c r="F139" s="163" t="str">
        <f t="shared" si="21"/>
        <v/>
      </c>
      <c r="G139" s="162"/>
      <c r="H139" s="162"/>
      <c r="I139" s="162"/>
      <c r="J139" s="164" t="str">
        <f t="shared" si="17"/>
        <v/>
      </c>
      <c r="K139" s="165" t="str">
        <f t="shared" si="18"/>
        <v/>
      </c>
      <c r="L139" s="165" t="str">
        <f t="shared" si="22"/>
        <v/>
      </c>
      <c r="M139" s="166" t="str">
        <f t="shared" si="19"/>
        <v/>
      </c>
      <c r="N139" s="167" t="str">
        <f t="shared" si="20"/>
        <v/>
      </c>
    </row>
    <row r="140" spans="1:14" ht="18" x14ac:dyDescent="0.35">
      <c r="A140" t="str">
        <f>IFERROR(B140&amp;" "&amp;COUNTIFS($B$4:B140,B140),"")</f>
        <v xml:space="preserve"> 0</v>
      </c>
      <c r="B140" s="169"/>
      <c r="C140" s="162"/>
      <c r="D140" s="162"/>
      <c r="E140" s="162"/>
      <c r="F140" s="163" t="str">
        <f t="shared" si="21"/>
        <v/>
      </c>
      <c r="G140" s="162"/>
      <c r="H140" s="162"/>
      <c r="I140" s="162"/>
      <c r="J140" s="164" t="str">
        <f t="shared" si="17"/>
        <v/>
      </c>
      <c r="K140" s="165" t="str">
        <f t="shared" si="18"/>
        <v/>
      </c>
      <c r="L140" s="165" t="str">
        <f t="shared" si="22"/>
        <v/>
      </c>
      <c r="M140" s="166" t="str">
        <f t="shared" si="19"/>
        <v/>
      </c>
      <c r="N140" s="167" t="str">
        <f t="shared" si="20"/>
        <v/>
      </c>
    </row>
    <row r="141" spans="1:14" ht="18" x14ac:dyDescent="0.35">
      <c r="A141" t="str">
        <f>IFERROR(B141&amp;" "&amp;COUNTIFS($B$4:B141,B141),"")</f>
        <v xml:space="preserve"> 0</v>
      </c>
      <c r="B141" s="169"/>
      <c r="C141" s="162"/>
      <c r="D141" s="162"/>
      <c r="E141" s="162"/>
      <c r="F141" s="163" t="str">
        <f t="shared" si="21"/>
        <v/>
      </c>
      <c r="G141" s="162"/>
      <c r="H141" s="162"/>
      <c r="I141" s="162"/>
      <c r="J141" s="164" t="str">
        <f t="shared" si="17"/>
        <v/>
      </c>
      <c r="K141" s="165" t="str">
        <f t="shared" si="18"/>
        <v/>
      </c>
      <c r="L141" s="165" t="str">
        <f t="shared" si="22"/>
        <v/>
      </c>
      <c r="M141" s="166" t="str">
        <f t="shared" si="19"/>
        <v/>
      </c>
      <c r="N141" s="167" t="str">
        <f t="shared" si="20"/>
        <v/>
      </c>
    </row>
    <row r="142" spans="1:14" ht="18" x14ac:dyDescent="0.35">
      <c r="A142" t="str">
        <f>IFERROR(B142&amp;" "&amp;COUNTIFS($B$4:B142,B142),"")</f>
        <v xml:space="preserve"> 0</v>
      </c>
      <c r="B142" s="169"/>
      <c r="C142" s="162"/>
      <c r="D142" s="162"/>
      <c r="E142" s="162"/>
      <c r="F142" s="163" t="str">
        <f t="shared" si="21"/>
        <v/>
      </c>
      <c r="G142" s="162"/>
      <c r="H142" s="162"/>
      <c r="I142" s="162"/>
      <c r="J142" s="164" t="str">
        <f t="shared" si="17"/>
        <v/>
      </c>
      <c r="K142" s="165" t="str">
        <f t="shared" si="18"/>
        <v/>
      </c>
      <c r="L142" s="165" t="str">
        <f t="shared" si="22"/>
        <v/>
      </c>
      <c r="M142" s="166" t="str">
        <f t="shared" si="19"/>
        <v/>
      </c>
      <c r="N142" s="167" t="str">
        <f t="shared" si="20"/>
        <v/>
      </c>
    </row>
    <row r="143" spans="1:14" ht="18" x14ac:dyDescent="0.35">
      <c r="A143" t="str">
        <f>IFERROR(B143&amp;" "&amp;COUNTIFS($B$4:B143,B143),"")</f>
        <v xml:space="preserve"> 0</v>
      </c>
      <c r="B143" s="169"/>
      <c r="C143" s="162"/>
      <c r="D143" s="162"/>
      <c r="E143" s="162"/>
      <c r="F143" s="163" t="str">
        <f t="shared" si="21"/>
        <v/>
      </c>
      <c r="G143" s="162"/>
      <c r="H143" s="162"/>
      <c r="I143" s="162"/>
      <c r="J143" s="164" t="str">
        <f t="shared" si="17"/>
        <v/>
      </c>
      <c r="K143" s="165" t="str">
        <f t="shared" si="18"/>
        <v/>
      </c>
      <c r="L143" s="165" t="str">
        <f t="shared" si="22"/>
        <v/>
      </c>
      <c r="M143" s="166" t="str">
        <f t="shared" si="19"/>
        <v/>
      </c>
      <c r="N143" s="167" t="str">
        <f t="shared" si="20"/>
        <v/>
      </c>
    </row>
    <row r="144" spans="1:14" ht="18" x14ac:dyDescent="0.35">
      <c r="A144" t="str">
        <f>IFERROR(B144&amp;" "&amp;COUNTIFS($B$4:B144,B144),"")</f>
        <v xml:space="preserve"> 0</v>
      </c>
      <c r="B144" s="169"/>
      <c r="C144" s="162"/>
      <c r="D144" s="162"/>
      <c r="E144" s="162"/>
      <c r="F144" s="163" t="str">
        <f t="shared" si="21"/>
        <v/>
      </c>
      <c r="G144" s="162"/>
      <c r="H144" s="162"/>
      <c r="I144" s="162"/>
      <c r="J144" s="164" t="str">
        <f t="shared" si="17"/>
        <v/>
      </c>
      <c r="K144" s="165" t="str">
        <f t="shared" si="18"/>
        <v/>
      </c>
      <c r="L144" s="165" t="str">
        <f t="shared" si="22"/>
        <v/>
      </c>
      <c r="M144" s="166" t="str">
        <f t="shared" si="19"/>
        <v/>
      </c>
      <c r="N144" s="167" t="str">
        <f t="shared" si="20"/>
        <v/>
      </c>
    </row>
    <row r="145" spans="1:14" ht="18" x14ac:dyDescent="0.35">
      <c r="A145" t="str">
        <f>IFERROR(B145&amp;" "&amp;COUNTIFS($B$4:B145,B145),"")</f>
        <v xml:space="preserve"> 0</v>
      </c>
      <c r="B145" s="169"/>
      <c r="C145" s="162"/>
      <c r="D145" s="162"/>
      <c r="E145" s="162"/>
      <c r="F145" s="163" t="str">
        <f t="shared" si="21"/>
        <v/>
      </c>
      <c r="G145" s="162"/>
      <c r="H145" s="162"/>
      <c r="I145" s="162"/>
      <c r="J145" s="164" t="str">
        <f t="shared" si="17"/>
        <v/>
      </c>
      <c r="K145" s="165" t="str">
        <f t="shared" si="18"/>
        <v/>
      </c>
      <c r="L145" s="165" t="str">
        <f t="shared" si="22"/>
        <v/>
      </c>
      <c r="M145" s="166" t="str">
        <f t="shared" si="19"/>
        <v/>
      </c>
      <c r="N145" s="167" t="str">
        <f t="shared" si="20"/>
        <v/>
      </c>
    </row>
    <row r="146" spans="1:14" ht="18" x14ac:dyDescent="0.35">
      <c r="A146" t="str">
        <f>IFERROR(B146&amp;" "&amp;COUNTIFS($B$4:B146,B146),"")</f>
        <v xml:space="preserve"> 0</v>
      </c>
      <c r="B146" s="169"/>
      <c r="C146" s="162"/>
      <c r="D146" s="162"/>
      <c r="E146" s="162"/>
      <c r="F146" s="163" t="str">
        <f t="shared" si="21"/>
        <v/>
      </c>
      <c r="G146" s="162"/>
      <c r="H146" s="162"/>
      <c r="I146" s="162"/>
      <c r="J146" s="164" t="str">
        <f t="shared" si="17"/>
        <v/>
      </c>
      <c r="K146" s="165" t="str">
        <f t="shared" si="18"/>
        <v/>
      </c>
      <c r="L146" s="165" t="str">
        <f t="shared" si="22"/>
        <v/>
      </c>
      <c r="M146" s="166" t="str">
        <f t="shared" si="19"/>
        <v/>
      </c>
      <c r="N146" s="167" t="str">
        <f t="shared" si="20"/>
        <v/>
      </c>
    </row>
    <row r="147" spans="1:14" ht="18" x14ac:dyDescent="0.35">
      <c r="A147" t="str">
        <f>IFERROR(B147&amp;" "&amp;COUNTIFS($B$4:B147,B147),"")</f>
        <v xml:space="preserve"> 0</v>
      </c>
      <c r="B147" s="169"/>
      <c r="C147" s="162"/>
      <c r="D147" s="162"/>
      <c r="E147" s="162"/>
      <c r="F147" s="163" t="str">
        <f t="shared" si="21"/>
        <v/>
      </c>
      <c r="G147" s="162"/>
      <c r="H147" s="162"/>
      <c r="I147" s="162"/>
      <c r="J147" s="164" t="str">
        <f t="shared" si="17"/>
        <v/>
      </c>
      <c r="K147" s="165" t="str">
        <f t="shared" si="18"/>
        <v/>
      </c>
      <c r="L147" s="165" t="str">
        <f t="shared" si="22"/>
        <v/>
      </c>
      <c r="M147" s="166" t="str">
        <f t="shared" si="19"/>
        <v/>
      </c>
      <c r="N147" s="167" t="str">
        <f t="shared" si="20"/>
        <v/>
      </c>
    </row>
    <row r="148" spans="1:14" ht="18" x14ac:dyDescent="0.35">
      <c r="A148" t="str">
        <f>IFERROR(B148&amp;" "&amp;COUNTIFS($B$4:B148,B148),"")</f>
        <v xml:space="preserve"> 0</v>
      </c>
      <c r="B148" s="169"/>
      <c r="C148" s="162"/>
      <c r="D148" s="162"/>
      <c r="E148" s="162"/>
      <c r="F148" s="163" t="str">
        <f t="shared" si="21"/>
        <v/>
      </c>
      <c r="G148" s="162"/>
      <c r="H148" s="162"/>
      <c r="I148" s="162"/>
      <c r="J148" s="164" t="str">
        <f t="shared" si="17"/>
        <v/>
      </c>
      <c r="K148" s="165" t="str">
        <f t="shared" si="18"/>
        <v/>
      </c>
      <c r="L148" s="165" t="str">
        <f t="shared" si="22"/>
        <v/>
      </c>
      <c r="M148" s="166" t="str">
        <f t="shared" si="19"/>
        <v/>
      </c>
      <c r="N148" s="167" t="str">
        <f t="shared" si="20"/>
        <v/>
      </c>
    </row>
    <row r="149" spans="1:14" ht="18" x14ac:dyDescent="0.35">
      <c r="A149" t="str">
        <f>IFERROR(B149&amp;" "&amp;COUNTIFS($B$4:B149,B149),"")</f>
        <v xml:space="preserve"> 0</v>
      </c>
      <c r="B149" s="169"/>
      <c r="C149" s="162"/>
      <c r="D149" s="162"/>
      <c r="E149" s="162"/>
      <c r="F149" s="163" t="str">
        <f t="shared" si="21"/>
        <v/>
      </c>
      <c r="G149" s="162"/>
      <c r="H149" s="162"/>
      <c r="I149" s="162"/>
      <c r="J149" s="164" t="str">
        <f t="shared" si="17"/>
        <v/>
      </c>
      <c r="K149" s="165" t="str">
        <f t="shared" si="18"/>
        <v/>
      </c>
      <c r="L149" s="165" t="str">
        <f t="shared" si="22"/>
        <v/>
      </c>
      <c r="M149" s="166" t="str">
        <f t="shared" si="19"/>
        <v/>
      </c>
      <c r="N149" s="167" t="str">
        <f t="shared" si="20"/>
        <v/>
      </c>
    </row>
    <row r="150" spans="1:14" ht="18" x14ac:dyDescent="0.35">
      <c r="A150" t="str">
        <f>IFERROR(B150&amp;" "&amp;COUNTIFS($B$4:B150,B150),"")</f>
        <v xml:space="preserve"> 0</v>
      </c>
      <c r="B150" s="169"/>
      <c r="C150" s="162"/>
      <c r="D150" s="162"/>
      <c r="E150" s="162"/>
      <c r="F150" s="163" t="str">
        <f t="shared" si="21"/>
        <v/>
      </c>
      <c r="G150" s="162"/>
      <c r="H150" s="162"/>
      <c r="I150" s="162"/>
      <c r="J150" s="164" t="str">
        <f t="shared" si="17"/>
        <v/>
      </c>
      <c r="K150" s="165" t="str">
        <f t="shared" si="18"/>
        <v/>
      </c>
      <c r="L150" s="165" t="str">
        <f t="shared" si="22"/>
        <v/>
      </c>
      <c r="M150" s="166" t="str">
        <f t="shared" si="19"/>
        <v/>
      </c>
      <c r="N150" s="167" t="str">
        <f t="shared" si="20"/>
        <v/>
      </c>
    </row>
    <row r="151" spans="1:14" ht="18" x14ac:dyDescent="0.35">
      <c r="A151" t="str">
        <f>IFERROR(B151&amp;" "&amp;COUNTIFS($B$4:B151,B151),"")</f>
        <v xml:space="preserve"> 0</v>
      </c>
      <c r="B151" s="169"/>
      <c r="C151" s="162"/>
      <c r="D151" s="162"/>
      <c r="E151" s="162"/>
      <c r="F151" s="163" t="str">
        <f t="shared" si="21"/>
        <v/>
      </c>
      <c r="G151" s="162"/>
      <c r="H151" s="162"/>
      <c r="I151" s="162"/>
      <c r="J151" s="164" t="str">
        <f t="shared" si="17"/>
        <v/>
      </c>
      <c r="K151" s="165" t="str">
        <f t="shared" si="18"/>
        <v/>
      </c>
      <c r="L151" s="165" t="str">
        <f t="shared" si="22"/>
        <v/>
      </c>
      <c r="M151" s="166" t="str">
        <f t="shared" si="19"/>
        <v/>
      </c>
      <c r="N151" s="167" t="str">
        <f t="shared" si="20"/>
        <v/>
      </c>
    </row>
    <row r="152" spans="1:14" ht="18" x14ac:dyDescent="0.35">
      <c r="A152" t="str">
        <f>IFERROR(B152&amp;" "&amp;COUNTIFS($B$4:B152,B152),"")</f>
        <v xml:space="preserve"> 0</v>
      </c>
      <c r="B152" s="169"/>
      <c r="C152" s="162"/>
      <c r="D152" s="162"/>
      <c r="E152" s="162"/>
      <c r="F152" s="163" t="str">
        <f t="shared" si="21"/>
        <v/>
      </c>
      <c r="G152" s="162"/>
      <c r="H152" s="162"/>
      <c r="I152" s="162"/>
      <c r="J152" s="164" t="str">
        <f t="shared" si="17"/>
        <v/>
      </c>
      <c r="K152" s="165" t="str">
        <f t="shared" si="18"/>
        <v/>
      </c>
      <c r="L152" s="165" t="str">
        <f t="shared" si="22"/>
        <v/>
      </c>
      <c r="M152" s="166" t="str">
        <f t="shared" si="19"/>
        <v/>
      </c>
      <c r="N152" s="167" t="str">
        <f t="shared" si="20"/>
        <v/>
      </c>
    </row>
    <row r="153" spans="1:14" ht="18" x14ac:dyDescent="0.35">
      <c r="A153" t="str">
        <f>IFERROR(B153&amp;" "&amp;COUNTIFS($B$4:B153,B153),"")</f>
        <v xml:space="preserve"> 0</v>
      </c>
      <c r="B153" s="169"/>
      <c r="C153" s="162"/>
      <c r="D153" s="162"/>
      <c r="E153" s="162"/>
      <c r="F153" s="163" t="str">
        <f t="shared" si="21"/>
        <v/>
      </c>
      <c r="G153" s="162"/>
      <c r="H153" s="162"/>
      <c r="I153" s="162"/>
      <c r="J153" s="164" t="str">
        <f t="shared" si="17"/>
        <v/>
      </c>
      <c r="K153" s="165" t="str">
        <f t="shared" si="18"/>
        <v/>
      </c>
      <c r="L153" s="165" t="str">
        <f t="shared" si="22"/>
        <v/>
      </c>
      <c r="M153" s="166" t="str">
        <f t="shared" si="19"/>
        <v/>
      </c>
      <c r="N153" s="167" t="str">
        <f t="shared" si="20"/>
        <v/>
      </c>
    </row>
    <row r="154" spans="1:14" ht="18" x14ac:dyDescent="0.35">
      <c r="A154" t="str">
        <f>IFERROR(B154&amp;" "&amp;COUNTIFS($B$4:B154,B154),"")</f>
        <v xml:space="preserve"> 0</v>
      </c>
      <c r="B154" s="169"/>
      <c r="C154" s="162"/>
      <c r="D154" s="162"/>
      <c r="E154" s="162"/>
      <c r="F154" s="163" t="str">
        <f t="shared" si="21"/>
        <v/>
      </c>
      <c r="G154" s="162"/>
      <c r="H154" s="162"/>
      <c r="I154" s="162"/>
      <c r="J154" s="164" t="str">
        <f t="shared" si="17"/>
        <v/>
      </c>
      <c r="K154" s="165" t="str">
        <f t="shared" si="18"/>
        <v/>
      </c>
      <c r="L154" s="165" t="str">
        <f t="shared" si="22"/>
        <v/>
      </c>
      <c r="M154" s="166" t="str">
        <f t="shared" si="19"/>
        <v/>
      </c>
      <c r="N154" s="167" t="str">
        <f t="shared" si="20"/>
        <v/>
      </c>
    </row>
    <row r="155" spans="1:14" ht="18" x14ac:dyDescent="0.35">
      <c r="A155" t="str">
        <f>IFERROR(B155&amp;" "&amp;COUNTIFS($B$4:B155,B155),"")</f>
        <v xml:space="preserve"> 0</v>
      </c>
      <c r="B155" s="169"/>
      <c r="C155" s="162"/>
      <c r="D155" s="162"/>
      <c r="E155" s="162"/>
      <c r="F155" s="163" t="str">
        <f t="shared" si="21"/>
        <v/>
      </c>
      <c r="G155" s="162"/>
      <c r="H155" s="162"/>
      <c r="I155" s="162"/>
      <c r="J155" s="164" t="str">
        <f t="shared" si="17"/>
        <v/>
      </c>
      <c r="K155" s="165" t="str">
        <f t="shared" si="18"/>
        <v/>
      </c>
      <c r="L155" s="165" t="str">
        <f t="shared" si="22"/>
        <v/>
      </c>
      <c r="M155" s="166" t="str">
        <f t="shared" si="19"/>
        <v/>
      </c>
      <c r="N155" s="167" t="str">
        <f t="shared" si="20"/>
        <v/>
      </c>
    </row>
    <row r="156" spans="1:14" ht="18" x14ac:dyDescent="0.35">
      <c r="A156" t="str">
        <f>IFERROR(B156&amp;" "&amp;COUNTIFS($B$4:B156,B156),"")</f>
        <v xml:space="preserve"> 0</v>
      </c>
      <c r="B156" s="169"/>
      <c r="C156" s="162"/>
      <c r="D156" s="162"/>
      <c r="E156" s="162"/>
      <c r="F156" s="163" t="str">
        <f t="shared" si="21"/>
        <v/>
      </c>
      <c r="G156" s="162"/>
      <c r="H156" s="162"/>
      <c r="I156" s="162"/>
      <c r="J156" s="164" t="str">
        <f t="shared" si="17"/>
        <v/>
      </c>
      <c r="K156" s="165" t="str">
        <f t="shared" si="18"/>
        <v/>
      </c>
      <c r="L156" s="165" t="str">
        <f t="shared" si="22"/>
        <v/>
      </c>
      <c r="M156" s="166" t="str">
        <f t="shared" si="19"/>
        <v/>
      </c>
      <c r="N156" s="167" t="str">
        <f t="shared" si="20"/>
        <v/>
      </c>
    </row>
    <row r="157" spans="1:14" ht="18" x14ac:dyDescent="0.35">
      <c r="A157" t="str">
        <f>IFERROR(B157&amp;" "&amp;COUNTIFS($B$4:B157,B157),"")</f>
        <v xml:space="preserve"> 0</v>
      </c>
      <c r="B157" s="169"/>
      <c r="C157" s="162"/>
      <c r="D157" s="162"/>
      <c r="E157" s="162"/>
      <c r="F157" s="163" t="str">
        <f t="shared" si="21"/>
        <v/>
      </c>
      <c r="G157" s="162"/>
      <c r="H157" s="162"/>
      <c r="I157" s="162"/>
      <c r="J157" s="164" t="str">
        <f t="shared" si="17"/>
        <v/>
      </c>
      <c r="K157" s="165" t="str">
        <f t="shared" si="18"/>
        <v/>
      </c>
      <c r="L157" s="165" t="str">
        <f t="shared" si="22"/>
        <v/>
      </c>
      <c r="M157" s="166" t="str">
        <f t="shared" si="19"/>
        <v/>
      </c>
      <c r="N157" s="167" t="str">
        <f t="shared" si="20"/>
        <v/>
      </c>
    </row>
    <row r="158" spans="1:14" ht="18" x14ac:dyDescent="0.35">
      <c r="A158" t="str">
        <f>IFERROR(B158&amp;" "&amp;COUNTIFS($B$4:B158,B158),"")</f>
        <v xml:space="preserve"> 0</v>
      </c>
      <c r="B158" s="169"/>
      <c r="C158" s="162"/>
      <c r="D158" s="162"/>
      <c r="E158" s="162"/>
      <c r="F158" s="163" t="str">
        <f t="shared" si="21"/>
        <v/>
      </c>
      <c r="G158" s="162"/>
      <c r="H158" s="162"/>
      <c r="I158" s="162"/>
      <c r="J158" s="164" t="str">
        <f t="shared" si="17"/>
        <v/>
      </c>
      <c r="K158" s="165" t="str">
        <f t="shared" si="18"/>
        <v/>
      </c>
      <c r="L158" s="165" t="str">
        <f t="shared" si="22"/>
        <v/>
      </c>
      <c r="M158" s="166" t="str">
        <f t="shared" si="19"/>
        <v/>
      </c>
      <c r="N158" s="167" t="str">
        <f t="shared" si="20"/>
        <v/>
      </c>
    </row>
    <row r="159" spans="1:14" ht="18" x14ac:dyDescent="0.35">
      <c r="A159" t="str">
        <f>IFERROR(B159&amp;" "&amp;COUNTIFS($B$4:B159,B159),"")</f>
        <v xml:space="preserve"> 0</v>
      </c>
      <c r="B159" s="169"/>
      <c r="C159" s="162"/>
      <c r="D159" s="162"/>
      <c r="E159" s="162"/>
      <c r="F159" s="163" t="str">
        <f t="shared" si="21"/>
        <v/>
      </c>
      <c r="G159" s="162"/>
      <c r="H159" s="162"/>
      <c r="I159" s="162"/>
      <c r="J159" s="164" t="str">
        <f t="shared" si="17"/>
        <v/>
      </c>
      <c r="K159" s="165" t="str">
        <f t="shared" si="18"/>
        <v/>
      </c>
      <c r="L159" s="165" t="str">
        <f t="shared" si="22"/>
        <v/>
      </c>
      <c r="M159" s="166" t="str">
        <f t="shared" si="19"/>
        <v/>
      </c>
      <c r="N159" s="167" t="str">
        <f t="shared" si="20"/>
        <v/>
      </c>
    </row>
    <row r="160" spans="1:14" ht="18" x14ac:dyDescent="0.35">
      <c r="A160" t="str">
        <f>IFERROR(B160&amp;" "&amp;COUNTIFS($B$4:B160,B160),"")</f>
        <v xml:space="preserve"> 0</v>
      </c>
      <c r="B160" s="169"/>
      <c r="C160" s="162"/>
      <c r="D160" s="162"/>
      <c r="E160" s="162"/>
      <c r="F160" s="163" t="str">
        <f t="shared" si="21"/>
        <v/>
      </c>
      <c r="G160" s="162"/>
      <c r="H160" s="162"/>
      <c r="I160" s="162"/>
      <c r="J160" s="164" t="str">
        <f t="shared" si="17"/>
        <v/>
      </c>
      <c r="K160" s="165" t="str">
        <f t="shared" si="18"/>
        <v/>
      </c>
      <c r="L160" s="165" t="str">
        <f t="shared" si="22"/>
        <v/>
      </c>
      <c r="M160" s="166" t="str">
        <f t="shared" si="19"/>
        <v/>
      </c>
      <c r="N160" s="167" t="str">
        <f t="shared" si="20"/>
        <v/>
      </c>
    </row>
    <row r="161" spans="1:14" ht="18" x14ac:dyDescent="0.35">
      <c r="A161" t="str">
        <f>IFERROR(B161&amp;" "&amp;COUNTIFS($B$4:B161,B161),"")</f>
        <v xml:space="preserve"> 0</v>
      </c>
      <c r="B161" s="169"/>
      <c r="C161" s="162"/>
      <c r="D161" s="162"/>
      <c r="E161" s="162"/>
      <c r="F161" s="163" t="str">
        <f t="shared" si="21"/>
        <v/>
      </c>
      <c r="G161" s="162"/>
      <c r="H161" s="162"/>
      <c r="I161" s="162"/>
      <c r="J161" s="164" t="str">
        <f t="shared" si="17"/>
        <v/>
      </c>
      <c r="K161" s="165" t="str">
        <f t="shared" si="18"/>
        <v/>
      </c>
      <c r="L161" s="165" t="str">
        <f t="shared" si="22"/>
        <v/>
      </c>
      <c r="M161" s="166" t="str">
        <f t="shared" si="19"/>
        <v/>
      </c>
      <c r="N161" s="167" t="str">
        <f t="shared" si="20"/>
        <v/>
      </c>
    </row>
    <row r="162" spans="1:14" ht="18" x14ac:dyDescent="0.35">
      <c r="A162" t="str">
        <f>IFERROR(B162&amp;" "&amp;COUNTIFS($B$4:B162,B162),"")</f>
        <v xml:space="preserve"> 0</v>
      </c>
      <c r="B162" s="169"/>
      <c r="C162" s="162"/>
      <c r="D162" s="162"/>
      <c r="E162" s="162"/>
      <c r="F162" s="163" t="str">
        <f t="shared" si="21"/>
        <v/>
      </c>
      <c r="G162" s="162"/>
      <c r="H162" s="162"/>
      <c r="I162" s="162"/>
      <c r="J162" s="164" t="str">
        <f t="shared" si="17"/>
        <v/>
      </c>
      <c r="K162" s="165" t="str">
        <f t="shared" si="18"/>
        <v/>
      </c>
      <c r="L162" s="165" t="str">
        <f t="shared" si="22"/>
        <v/>
      </c>
      <c r="M162" s="166" t="str">
        <f t="shared" si="19"/>
        <v/>
      </c>
      <c r="N162" s="167" t="str">
        <f t="shared" si="20"/>
        <v/>
      </c>
    </row>
    <row r="163" spans="1:14" ht="18" x14ac:dyDescent="0.35">
      <c r="A163" t="str">
        <f>IFERROR(B163&amp;" "&amp;COUNTIFS($B$4:B163,B163),"")</f>
        <v xml:space="preserve"> 0</v>
      </c>
      <c r="B163" s="169"/>
      <c r="C163" s="162"/>
      <c r="D163" s="162"/>
      <c r="E163" s="162"/>
      <c r="F163" s="163" t="str">
        <f t="shared" si="21"/>
        <v/>
      </c>
      <c r="G163" s="162"/>
      <c r="H163" s="162"/>
      <c r="I163" s="162"/>
      <c r="J163" s="164" t="str">
        <f t="shared" si="17"/>
        <v/>
      </c>
      <c r="K163" s="165" t="str">
        <f t="shared" si="18"/>
        <v/>
      </c>
      <c r="L163" s="165" t="str">
        <f t="shared" si="22"/>
        <v/>
      </c>
      <c r="M163" s="166" t="str">
        <f t="shared" si="19"/>
        <v/>
      </c>
      <c r="N163" s="167" t="str">
        <f t="shared" si="20"/>
        <v/>
      </c>
    </row>
    <row r="164" spans="1:14" ht="18" x14ac:dyDescent="0.35">
      <c r="A164" t="str">
        <f>IFERROR(B164&amp;" "&amp;COUNTIFS($B$4:B164,B164),"")</f>
        <v xml:space="preserve"> 0</v>
      </c>
      <c r="B164" s="169"/>
      <c r="C164" s="162"/>
      <c r="D164" s="162"/>
      <c r="E164" s="162"/>
      <c r="F164" s="163" t="str">
        <f t="shared" si="21"/>
        <v/>
      </c>
      <c r="G164" s="162"/>
      <c r="H164" s="162"/>
      <c r="I164" s="162"/>
      <c r="J164" s="164" t="str">
        <f t="shared" si="17"/>
        <v/>
      </c>
      <c r="K164" s="165" t="str">
        <f t="shared" si="18"/>
        <v/>
      </c>
      <c r="L164" s="165" t="str">
        <f t="shared" si="22"/>
        <v/>
      </c>
      <c r="M164" s="166" t="str">
        <f t="shared" si="19"/>
        <v/>
      </c>
      <c r="N164" s="167" t="str">
        <f t="shared" si="20"/>
        <v/>
      </c>
    </row>
    <row r="165" spans="1:14" ht="18" x14ac:dyDescent="0.35">
      <c r="A165" t="str">
        <f>IFERROR(B165&amp;" "&amp;COUNTIFS($B$4:B165,B165),"")</f>
        <v xml:space="preserve"> 0</v>
      </c>
      <c r="B165" s="169"/>
      <c r="C165" s="162"/>
      <c r="D165" s="162"/>
      <c r="E165" s="162"/>
      <c r="F165" s="163" t="str">
        <f t="shared" si="21"/>
        <v/>
      </c>
      <c r="G165" s="162"/>
      <c r="H165" s="162"/>
      <c r="I165" s="162"/>
      <c r="J165" s="164" t="str">
        <f t="shared" si="17"/>
        <v/>
      </c>
      <c r="K165" s="165" t="str">
        <f t="shared" si="18"/>
        <v/>
      </c>
      <c r="L165" s="165" t="str">
        <f t="shared" si="22"/>
        <v/>
      </c>
      <c r="M165" s="166" t="str">
        <f t="shared" si="19"/>
        <v/>
      </c>
      <c r="N165" s="167" t="str">
        <f t="shared" si="20"/>
        <v/>
      </c>
    </row>
    <row r="166" spans="1:14" ht="18" x14ac:dyDescent="0.35">
      <c r="A166" t="str">
        <f>IFERROR(B166&amp;" "&amp;COUNTIFS($B$4:B166,B166),"")</f>
        <v xml:space="preserve"> 0</v>
      </c>
      <c r="B166" s="169"/>
      <c r="C166" s="162"/>
      <c r="D166" s="162"/>
      <c r="E166" s="162"/>
      <c r="F166" s="163" t="str">
        <f t="shared" si="21"/>
        <v/>
      </c>
      <c r="G166" s="162"/>
      <c r="H166" s="162"/>
      <c r="I166" s="162"/>
      <c r="J166" s="164" t="str">
        <f t="shared" si="17"/>
        <v/>
      </c>
      <c r="K166" s="165" t="str">
        <f t="shared" si="18"/>
        <v/>
      </c>
      <c r="L166" s="165" t="str">
        <f t="shared" si="22"/>
        <v/>
      </c>
      <c r="M166" s="166" t="str">
        <f t="shared" si="19"/>
        <v/>
      </c>
      <c r="N166" s="167" t="str">
        <f t="shared" si="20"/>
        <v/>
      </c>
    </row>
    <row r="167" spans="1:14" ht="18" x14ac:dyDescent="0.35">
      <c r="A167" t="str">
        <f>IFERROR(B167&amp;" "&amp;COUNTIFS($B$4:B167,B167),"")</f>
        <v xml:space="preserve"> 0</v>
      </c>
      <c r="B167" s="169"/>
      <c r="C167" s="162"/>
      <c r="D167" s="162"/>
      <c r="E167" s="162"/>
      <c r="F167" s="163" t="str">
        <f t="shared" si="21"/>
        <v/>
      </c>
      <c r="G167" s="162"/>
      <c r="H167" s="162"/>
      <c r="I167" s="162"/>
      <c r="J167" s="164" t="str">
        <f t="shared" si="17"/>
        <v/>
      </c>
      <c r="K167" s="165" t="str">
        <f t="shared" si="18"/>
        <v/>
      </c>
      <c r="L167" s="165" t="str">
        <f t="shared" si="22"/>
        <v/>
      </c>
      <c r="M167" s="166" t="str">
        <f t="shared" si="19"/>
        <v/>
      </c>
      <c r="N167" s="167" t="str">
        <f t="shared" si="20"/>
        <v/>
      </c>
    </row>
    <row r="168" spans="1:14" ht="18" x14ac:dyDescent="0.35">
      <c r="A168" t="str">
        <f>IFERROR(B168&amp;" "&amp;COUNTIFS($B$4:B168,B168),"")</f>
        <v xml:space="preserve"> 0</v>
      </c>
      <c r="B168" s="169"/>
      <c r="C168" s="162"/>
      <c r="D168" s="162"/>
      <c r="E168" s="162"/>
      <c r="F168" s="163" t="str">
        <f t="shared" si="21"/>
        <v/>
      </c>
      <c r="G168" s="162"/>
      <c r="H168" s="162"/>
      <c r="I168" s="162"/>
      <c r="J168" s="164" t="str">
        <f t="shared" si="17"/>
        <v/>
      </c>
      <c r="K168" s="165" t="str">
        <f t="shared" si="18"/>
        <v/>
      </c>
      <c r="L168" s="165" t="str">
        <f t="shared" si="22"/>
        <v/>
      </c>
      <c r="M168" s="166" t="str">
        <f t="shared" si="19"/>
        <v/>
      </c>
      <c r="N168" s="167" t="str">
        <f t="shared" si="20"/>
        <v/>
      </c>
    </row>
    <row r="169" spans="1:14" ht="18" x14ac:dyDescent="0.35">
      <c r="A169" t="str">
        <f>IFERROR(B169&amp;" "&amp;COUNTIFS($B$4:B169,B169),"")</f>
        <v xml:space="preserve"> 0</v>
      </c>
      <c r="B169" s="169"/>
      <c r="C169" s="162"/>
      <c r="D169" s="162"/>
      <c r="E169" s="162"/>
      <c r="F169" s="163" t="str">
        <f t="shared" si="21"/>
        <v/>
      </c>
      <c r="G169" s="162"/>
      <c r="H169" s="162"/>
      <c r="I169" s="162"/>
      <c r="J169" s="164" t="str">
        <f t="shared" si="17"/>
        <v/>
      </c>
      <c r="K169" s="165" t="str">
        <f t="shared" si="18"/>
        <v/>
      </c>
      <c r="L169" s="165" t="str">
        <f t="shared" si="22"/>
        <v/>
      </c>
      <c r="M169" s="166" t="str">
        <f t="shared" si="19"/>
        <v/>
      </c>
      <c r="N169" s="167" t="str">
        <f t="shared" si="20"/>
        <v/>
      </c>
    </row>
    <row r="170" spans="1:14" ht="18" x14ac:dyDescent="0.35">
      <c r="A170" t="str">
        <f>IFERROR(B170&amp;" "&amp;COUNTIFS($B$4:B170,B170),"")</f>
        <v xml:space="preserve"> 0</v>
      </c>
      <c r="B170" s="169"/>
      <c r="C170" s="162"/>
      <c r="D170" s="162"/>
      <c r="E170" s="162"/>
      <c r="F170" s="163" t="str">
        <f t="shared" si="21"/>
        <v/>
      </c>
      <c r="G170" s="162"/>
      <c r="H170" s="162"/>
      <c r="I170" s="162"/>
      <c r="J170" s="164" t="str">
        <f t="shared" si="17"/>
        <v/>
      </c>
      <c r="K170" s="165" t="str">
        <f t="shared" si="18"/>
        <v/>
      </c>
      <c r="L170" s="165" t="str">
        <f t="shared" si="22"/>
        <v/>
      </c>
      <c r="M170" s="166" t="str">
        <f t="shared" si="19"/>
        <v/>
      </c>
      <c r="N170" s="167" t="str">
        <f t="shared" si="20"/>
        <v/>
      </c>
    </row>
    <row r="171" spans="1:14" ht="18" x14ac:dyDescent="0.35">
      <c r="A171" t="str">
        <f>IFERROR(B171&amp;" "&amp;COUNTIFS($B$4:B171,B171),"")</f>
        <v xml:space="preserve"> 0</v>
      </c>
      <c r="B171" s="169"/>
      <c r="C171" s="162"/>
      <c r="D171" s="162"/>
      <c r="E171" s="162"/>
      <c r="F171" s="163" t="str">
        <f t="shared" si="21"/>
        <v/>
      </c>
      <c r="G171" s="162"/>
      <c r="H171" s="162"/>
      <c r="I171" s="162"/>
      <c r="J171" s="164" t="str">
        <f t="shared" si="17"/>
        <v/>
      </c>
      <c r="K171" s="165" t="str">
        <f t="shared" si="18"/>
        <v/>
      </c>
      <c r="L171" s="165" t="str">
        <f t="shared" si="22"/>
        <v/>
      </c>
      <c r="M171" s="166" t="str">
        <f t="shared" si="19"/>
        <v/>
      </c>
      <c r="N171" s="167" t="str">
        <f t="shared" si="20"/>
        <v/>
      </c>
    </row>
    <row r="172" spans="1:14" ht="18" x14ac:dyDescent="0.35">
      <c r="A172" t="str">
        <f>IFERROR(B172&amp;" "&amp;COUNTIFS($B$4:B172,B172),"")</f>
        <v xml:space="preserve"> 0</v>
      </c>
      <c r="B172" s="169"/>
      <c r="C172" s="162"/>
      <c r="D172" s="162"/>
      <c r="E172" s="162"/>
      <c r="F172" s="163" t="str">
        <f t="shared" si="21"/>
        <v/>
      </c>
      <c r="G172" s="162"/>
      <c r="H172" s="162"/>
      <c r="I172" s="162"/>
      <c r="J172" s="164" t="str">
        <f t="shared" si="17"/>
        <v/>
      </c>
      <c r="K172" s="165" t="str">
        <f t="shared" si="18"/>
        <v/>
      </c>
      <c r="L172" s="165" t="str">
        <f t="shared" si="22"/>
        <v/>
      </c>
      <c r="M172" s="166" t="str">
        <f t="shared" si="19"/>
        <v/>
      </c>
      <c r="N172" s="167" t="str">
        <f t="shared" si="20"/>
        <v/>
      </c>
    </row>
    <row r="173" spans="1:14" ht="18" x14ac:dyDescent="0.35">
      <c r="A173" t="str">
        <f>IFERROR(B173&amp;" "&amp;COUNTIFS($B$4:B173,B173),"")</f>
        <v xml:space="preserve"> 0</v>
      </c>
      <c r="B173" s="169"/>
      <c r="C173" s="162"/>
      <c r="D173" s="162"/>
      <c r="E173" s="162"/>
      <c r="F173" s="163" t="str">
        <f t="shared" si="21"/>
        <v/>
      </c>
      <c r="G173" s="162"/>
      <c r="H173" s="162"/>
      <c r="I173" s="162"/>
      <c r="J173" s="164" t="str">
        <f t="shared" si="17"/>
        <v/>
      </c>
      <c r="K173" s="165" t="str">
        <f t="shared" si="18"/>
        <v/>
      </c>
      <c r="L173" s="165" t="str">
        <f t="shared" si="22"/>
        <v/>
      </c>
      <c r="M173" s="166" t="str">
        <f t="shared" si="19"/>
        <v/>
      </c>
      <c r="N173" s="167" t="str">
        <f t="shared" si="20"/>
        <v/>
      </c>
    </row>
    <row r="174" spans="1:14" ht="18" x14ac:dyDescent="0.35">
      <c r="A174" t="str">
        <f>IFERROR(B174&amp;" "&amp;COUNTIFS($B$4:B174,B174),"")</f>
        <v xml:space="preserve"> 0</v>
      </c>
      <c r="B174" s="169"/>
      <c r="C174" s="162"/>
      <c r="D174" s="162"/>
      <c r="E174" s="162"/>
      <c r="F174" s="163" t="str">
        <f t="shared" si="21"/>
        <v/>
      </c>
      <c r="G174" s="162"/>
      <c r="H174" s="162"/>
      <c r="I174" s="162"/>
      <c r="J174" s="164" t="str">
        <f t="shared" si="17"/>
        <v/>
      </c>
      <c r="K174" s="165" t="str">
        <f t="shared" si="18"/>
        <v/>
      </c>
      <c r="L174" s="165" t="str">
        <f t="shared" si="22"/>
        <v/>
      </c>
      <c r="M174" s="166" t="str">
        <f t="shared" si="19"/>
        <v/>
      </c>
      <c r="N174" s="167" t="str">
        <f t="shared" si="20"/>
        <v/>
      </c>
    </row>
    <row r="175" spans="1:14" ht="18" x14ac:dyDescent="0.35">
      <c r="A175" t="str">
        <f>IFERROR(B175&amp;" "&amp;COUNTIFS($B$4:B175,B175),"")</f>
        <v xml:space="preserve"> 0</v>
      </c>
      <c r="B175" s="169"/>
      <c r="C175" s="162"/>
      <c r="D175" s="162"/>
      <c r="E175" s="162"/>
      <c r="F175" s="163" t="str">
        <f t="shared" si="21"/>
        <v/>
      </c>
      <c r="G175" s="162"/>
      <c r="H175" s="162"/>
      <c r="I175" s="162"/>
      <c r="J175" s="164" t="str">
        <f t="shared" si="17"/>
        <v/>
      </c>
      <c r="K175" s="165" t="str">
        <f t="shared" si="18"/>
        <v/>
      </c>
      <c r="L175" s="165" t="str">
        <f t="shared" si="22"/>
        <v/>
      </c>
      <c r="M175" s="166" t="str">
        <f t="shared" si="19"/>
        <v/>
      </c>
      <c r="N175" s="167" t="str">
        <f t="shared" si="20"/>
        <v/>
      </c>
    </row>
    <row r="176" spans="1:14" ht="18" x14ac:dyDescent="0.35">
      <c r="A176" t="str">
        <f>IFERROR(B176&amp;" "&amp;COUNTIFS($B$4:B176,B176),"")</f>
        <v xml:space="preserve"> 0</v>
      </c>
      <c r="B176" s="169"/>
      <c r="C176" s="162"/>
      <c r="D176" s="162"/>
      <c r="E176" s="162"/>
      <c r="F176" s="163" t="str">
        <f t="shared" si="21"/>
        <v/>
      </c>
      <c r="G176" s="162"/>
      <c r="H176" s="162"/>
      <c r="I176" s="162"/>
      <c r="J176" s="164" t="str">
        <f t="shared" si="17"/>
        <v/>
      </c>
      <c r="K176" s="165" t="str">
        <f t="shared" si="18"/>
        <v/>
      </c>
      <c r="L176" s="165" t="str">
        <f t="shared" si="22"/>
        <v/>
      </c>
      <c r="M176" s="166" t="str">
        <f t="shared" si="19"/>
        <v/>
      </c>
      <c r="N176" s="167" t="str">
        <f t="shared" si="20"/>
        <v/>
      </c>
    </row>
    <row r="177" spans="1:14" ht="18" x14ac:dyDescent="0.35">
      <c r="A177" t="str">
        <f>IFERROR(B177&amp;" "&amp;COUNTIFS($B$4:B177,B177),"")</f>
        <v xml:space="preserve"> 0</v>
      </c>
      <c r="B177" s="169"/>
      <c r="C177" s="162"/>
      <c r="D177" s="162"/>
      <c r="E177" s="162"/>
      <c r="F177" s="163" t="str">
        <f t="shared" si="21"/>
        <v/>
      </c>
      <c r="G177" s="162"/>
      <c r="H177" s="162"/>
      <c r="I177" s="162"/>
      <c r="J177" s="164" t="str">
        <f t="shared" si="17"/>
        <v/>
      </c>
      <c r="K177" s="165" t="str">
        <f t="shared" si="18"/>
        <v/>
      </c>
      <c r="L177" s="165" t="str">
        <f t="shared" si="22"/>
        <v/>
      </c>
      <c r="M177" s="166" t="str">
        <f t="shared" si="19"/>
        <v/>
      </c>
      <c r="N177" s="167" t="str">
        <f t="shared" si="20"/>
        <v/>
      </c>
    </row>
    <row r="178" spans="1:14" ht="18" x14ac:dyDescent="0.35">
      <c r="A178" t="str">
        <f>IFERROR(B178&amp;" "&amp;COUNTIFS($B$4:B178,B178),"")</f>
        <v xml:space="preserve"> 0</v>
      </c>
      <c r="B178" s="169"/>
      <c r="C178" s="162"/>
      <c r="D178" s="162"/>
      <c r="E178" s="162"/>
      <c r="F178" s="163" t="str">
        <f t="shared" si="21"/>
        <v/>
      </c>
      <c r="G178" s="162"/>
      <c r="H178" s="162"/>
      <c r="I178" s="162"/>
      <c r="J178" s="164" t="str">
        <f t="shared" si="17"/>
        <v/>
      </c>
      <c r="K178" s="165" t="str">
        <f t="shared" si="18"/>
        <v/>
      </c>
      <c r="L178" s="165" t="str">
        <f t="shared" si="22"/>
        <v/>
      </c>
      <c r="M178" s="166" t="str">
        <f t="shared" si="19"/>
        <v/>
      </c>
      <c r="N178" s="167" t="str">
        <f t="shared" si="20"/>
        <v/>
      </c>
    </row>
    <row r="179" spans="1:14" ht="18" x14ac:dyDescent="0.35">
      <c r="A179" t="str">
        <f>IFERROR(B179&amp;" "&amp;COUNTIFS($B$4:B179,B179),"")</f>
        <v xml:space="preserve"> 0</v>
      </c>
      <c r="B179" s="169"/>
      <c r="C179" s="162"/>
      <c r="D179" s="162"/>
      <c r="E179" s="162"/>
      <c r="F179" s="163" t="str">
        <f t="shared" si="21"/>
        <v/>
      </c>
      <c r="G179" s="162"/>
      <c r="H179" s="162"/>
      <c r="I179" s="162"/>
      <c r="J179" s="164" t="str">
        <f t="shared" si="17"/>
        <v/>
      </c>
      <c r="K179" s="165" t="str">
        <f t="shared" si="18"/>
        <v/>
      </c>
      <c r="L179" s="165" t="str">
        <f t="shared" si="22"/>
        <v/>
      </c>
      <c r="M179" s="166" t="str">
        <f t="shared" si="19"/>
        <v/>
      </c>
      <c r="N179" s="167" t="str">
        <f t="shared" si="20"/>
        <v/>
      </c>
    </row>
    <row r="180" spans="1:14" ht="18" x14ac:dyDescent="0.35">
      <c r="A180" t="str">
        <f>IFERROR(B180&amp;" "&amp;COUNTIFS($B$4:B180,B180),"")</f>
        <v xml:space="preserve"> 0</v>
      </c>
      <c r="B180" s="169"/>
      <c r="C180" s="162"/>
      <c r="D180" s="162"/>
      <c r="E180" s="162"/>
      <c r="F180" s="163" t="str">
        <f t="shared" si="21"/>
        <v/>
      </c>
      <c r="G180" s="162"/>
      <c r="H180" s="162"/>
      <c r="I180" s="162"/>
      <c r="J180" s="164" t="str">
        <f t="shared" si="17"/>
        <v/>
      </c>
      <c r="K180" s="165" t="str">
        <f t="shared" si="18"/>
        <v/>
      </c>
      <c r="L180" s="165" t="str">
        <f t="shared" si="22"/>
        <v/>
      </c>
      <c r="M180" s="166" t="str">
        <f t="shared" si="19"/>
        <v/>
      </c>
      <c r="N180" s="167" t="str">
        <f t="shared" si="20"/>
        <v/>
      </c>
    </row>
    <row r="181" spans="1:14" ht="18" x14ac:dyDescent="0.35">
      <c r="A181" t="str">
        <f>IFERROR(B181&amp;" "&amp;COUNTIFS($B$4:B181,B181),"")</f>
        <v xml:space="preserve"> 0</v>
      </c>
      <c r="B181" s="169"/>
      <c r="C181" s="162"/>
      <c r="D181" s="162"/>
      <c r="E181" s="162"/>
      <c r="F181" s="163" t="str">
        <f t="shared" si="21"/>
        <v/>
      </c>
      <c r="G181" s="162"/>
      <c r="H181" s="162"/>
      <c r="I181" s="162"/>
      <c r="J181" s="164" t="str">
        <f t="shared" si="17"/>
        <v/>
      </c>
      <c r="K181" s="165" t="str">
        <f t="shared" si="18"/>
        <v/>
      </c>
      <c r="L181" s="165" t="str">
        <f t="shared" si="22"/>
        <v/>
      </c>
      <c r="M181" s="166" t="str">
        <f t="shared" si="19"/>
        <v/>
      </c>
      <c r="N181" s="167" t="str">
        <f t="shared" si="20"/>
        <v/>
      </c>
    </row>
    <row r="182" spans="1:14" ht="18" x14ac:dyDescent="0.35">
      <c r="A182" t="str">
        <f>IFERROR(B182&amp;" "&amp;COUNTIFS($B$4:B182,B182),"")</f>
        <v xml:space="preserve"> 0</v>
      </c>
      <c r="B182" s="169"/>
      <c r="C182" s="162"/>
      <c r="D182" s="162"/>
      <c r="E182" s="162"/>
      <c r="F182" s="163" t="str">
        <f t="shared" si="21"/>
        <v/>
      </c>
      <c r="G182" s="162"/>
      <c r="H182" s="162"/>
      <c r="I182" s="162"/>
      <c r="J182" s="164" t="str">
        <f t="shared" si="17"/>
        <v/>
      </c>
      <c r="K182" s="165" t="str">
        <f t="shared" si="18"/>
        <v/>
      </c>
      <c r="L182" s="165" t="str">
        <f t="shared" si="22"/>
        <v/>
      </c>
      <c r="M182" s="166" t="str">
        <f t="shared" si="19"/>
        <v/>
      </c>
      <c r="N182" s="167" t="str">
        <f t="shared" si="20"/>
        <v/>
      </c>
    </row>
    <row r="183" spans="1:14" ht="18" x14ac:dyDescent="0.35">
      <c r="A183" t="str">
        <f>IFERROR(B183&amp;" "&amp;COUNTIFS($B$4:B183,B183),"")</f>
        <v xml:space="preserve"> 0</v>
      </c>
      <c r="B183" s="169"/>
      <c r="C183" s="162"/>
      <c r="D183" s="162"/>
      <c r="E183" s="162"/>
      <c r="F183" s="163" t="str">
        <f t="shared" si="21"/>
        <v/>
      </c>
      <c r="G183" s="162"/>
      <c r="H183" s="162"/>
      <c r="I183" s="162"/>
      <c r="J183" s="164" t="str">
        <f t="shared" si="17"/>
        <v/>
      </c>
      <c r="K183" s="165" t="str">
        <f t="shared" si="18"/>
        <v/>
      </c>
      <c r="L183" s="165" t="str">
        <f t="shared" si="22"/>
        <v/>
      </c>
      <c r="M183" s="166" t="str">
        <f t="shared" si="19"/>
        <v/>
      </c>
      <c r="N183" s="167" t="str">
        <f t="shared" si="20"/>
        <v/>
      </c>
    </row>
    <row r="184" spans="1:14" ht="18" x14ac:dyDescent="0.35">
      <c r="A184" t="str">
        <f>IFERROR(B184&amp;" "&amp;COUNTIFS($B$4:B184,B184),"")</f>
        <v xml:space="preserve"> 0</v>
      </c>
      <c r="B184" s="169"/>
      <c r="C184" s="162"/>
      <c r="D184" s="162"/>
      <c r="E184" s="162"/>
      <c r="F184" s="163" t="str">
        <f t="shared" si="21"/>
        <v/>
      </c>
      <c r="G184" s="162"/>
      <c r="H184" s="162"/>
      <c r="I184" s="162"/>
      <c r="J184" s="164" t="str">
        <f t="shared" si="17"/>
        <v/>
      </c>
      <c r="K184" s="165" t="str">
        <f t="shared" si="18"/>
        <v/>
      </c>
      <c r="L184" s="165" t="str">
        <f t="shared" si="22"/>
        <v/>
      </c>
      <c r="M184" s="166" t="str">
        <f t="shared" si="19"/>
        <v/>
      </c>
      <c r="N184" s="167" t="str">
        <f t="shared" si="20"/>
        <v/>
      </c>
    </row>
    <row r="185" spans="1:14" ht="18" x14ac:dyDescent="0.35">
      <c r="A185" t="str">
        <f>IFERROR(B185&amp;" "&amp;COUNTIFS($B$4:B185,B185),"")</f>
        <v xml:space="preserve"> 0</v>
      </c>
      <c r="B185" s="169"/>
      <c r="C185" s="162"/>
      <c r="D185" s="162"/>
      <c r="E185" s="162"/>
      <c r="F185" s="163" t="str">
        <f t="shared" si="21"/>
        <v/>
      </c>
      <c r="G185" s="162"/>
      <c r="H185" s="162"/>
      <c r="I185" s="162"/>
      <c r="J185" s="164" t="str">
        <f t="shared" si="17"/>
        <v/>
      </c>
      <c r="K185" s="165" t="str">
        <f t="shared" si="18"/>
        <v/>
      </c>
      <c r="L185" s="165" t="str">
        <f t="shared" si="22"/>
        <v/>
      </c>
      <c r="M185" s="166" t="str">
        <f t="shared" si="19"/>
        <v/>
      </c>
      <c r="N185" s="167" t="str">
        <f t="shared" si="20"/>
        <v/>
      </c>
    </row>
    <row r="186" spans="1:14" ht="18" x14ac:dyDescent="0.35">
      <c r="A186" t="str">
        <f>IFERROR(B186&amp;" "&amp;COUNTIFS($B$4:B186,B186),"")</f>
        <v xml:space="preserve"> 0</v>
      </c>
      <c r="B186" s="169"/>
      <c r="C186" s="162"/>
      <c r="D186" s="162"/>
      <c r="E186" s="162"/>
      <c r="F186" s="163" t="str">
        <f t="shared" si="21"/>
        <v/>
      </c>
      <c r="G186" s="162"/>
      <c r="H186" s="162"/>
      <c r="I186" s="162"/>
      <c r="J186" s="164" t="str">
        <f t="shared" si="17"/>
        <v/>
      </c>
      <c r="K186" s="165" t="str">
        <f t="shared" si="18"/>
        <v/>
      </c>
      <c r="L186" s="165" t="str">
        <f t="shared" si="22"/>
        <v/>
      </c>
      <c r="M186" s="166" t="str">
        <f t="shared" si="19"/>
        <v/>
      </c>
      <c r="N186" s="167" t="str">
        <f t="shared" si="20"/>
        <v/>
      </c>
    </row>
    <row r="187" spans="1:14" ht="18" x14ac:dyDescent="0.35">
      <c r="A187" t="str">
        <f>IFERROR(B187&amp;" "&amp;COUNTIFS($B$4:B187,B187),"")</f>
        <v xml:space="preserve"> 0</v>
      </c>
      <c r="B187" s="169"/>
      <c r="C187" s="162"/>
      <c r="D187" s="162"/>
      <c r="E187" s="162"/>
      <c r="F187" s="163" t="str">
        <f t="shared" si="21"/>
        <v/>
      </c>
      <c r="G187" s="162"/>
      <c r="H187" s="162"/>
      <c r="I187" s="162"/>
      <c r="J187" s="164" t="str">
        <f t="shared" ref="J187:J250" si="23">IFERROR(VLOOKUP(B187,data_kas3,12,FALSE),"")</f>
        <v/>
      </c>
      <c r="K187" s="165" t="str">
        <f t="shared" ref="K187:K250" si="24">IFERROR(VLOOKUP(B187,data_kas3,3,FALSE),"")</f>
        <v/>
      </c>
      <c r="L187" s="165" t="str">
        <f t="shared" si="22"/>
        <v/>
      </c>
      <c r="M187" s="166" t="str">
        <f t="shared" ref="M187:M250" si="25">IFERROR(VLOOKUP(B187,data_kas3,5,FALSE),"")</f>
        <v/>
      </c>
      <c r="N187" s="167" t="str">
        <f t="shared" si="20"/>
        <v/>
      </c>
    </row>
    <row r="188" spans="1:14" ht="18" x14ac:dyDescent="0.35">
      <c r="A188" t="str">
        <f>IFERROR(B188&amp;" "&amp;COUNTIFS($B$4:B188,B188),"")</f>
        <v xml:space="preserve"> 0</v>
      </c>
      <c r="B188" s="169"/>
      <c r="C188" s="162"/>
      <c r="D188" s="162"/>
      <c r="E188" s="162"/>
      <c r="F188" s="163" t="str">
        <f t="shared" si="21"/>
        <v/>
      </c>
      <c r="G188" s="162"/>
      <c r="H188" s="162"/>
      <c r="I188" s="162"/>
      <c r="J188" s="164" t="str">
        <f t="shared" si="23"/>
        <v/>
      </c>
      <c r="K188" s="165" t="str">
        <f t="shared" si="24"/>
        <v/>
      </c>
      <c r="L188" s="165" t="str">
        <f t="shared" si="22"/>
        <v/>
      </c>
      <c r="M188" s="166" t="str">
        <f t="shared" si="25"/>
        <v/>
      </c>
      <c r="N188" s="167" t="str">
        <f t="shared" ref="N188:N251" si="26">IF(K188="","",K188*M188)</f>
        <v/>
      </c>
    </row>
    <row r="189" spans="1:14" ht="18" x14ac:dyDescent="0.35">
      <c r="A189" t="str">
        <f>IFERROR(B189&amp;" "&amp;COUNTIFS($B$4:B189,B189),"")</f>
        <v xml:space="preserve"> 0</v>
      </c>
      <c r="B189" s="169"/>
      <c r="C189" s="162"/>
      <c r="D189" s="162"/>
      <c r="E189" s="162"/>
      <c r="F189" s="163" t="str">
        <f t="shared" si="21"/>
        <v/>
      </c>
      <c r="G189" s="162"/>
      <c r="H189" s="162"/>
      <c r="I189" s="162"/>
      <c r="J189" s="164" t="str">
        <f t="shared" si="23"/>
        <v/>
      </c>
      <c r="K189" s="165" t="str">
        <f t="shared" si="24"/>
        <v/>
      </c>
      <c r="L189" s="165" t="str">
        <f t="shared" si="22"/>
        <v/>
      </c>
      <c r="M189" s="166" t="str">
        <f t="shared" si="25"/>
        <v/>
      </c>
      <c r="N189" s="167" t="str">
        <f t="shared" si="26"/>
        <v/>
      </c>
    </row>
    <row r="190" spans="1:14" ht="18" x14ac:dyDescent="0.35">
      <c r="A190" t="str">
        <f>IFERROR(B190&amp;" "&amp;COUNTIFS($B$4:B190,B190),"")</f>
        <v xml:space="preserve"> 0</v>
      </c>
      <c r="B190" s="169"/>
      <c r="C190" s="162"/>
      <c r="D190" s="162"/>
      <c r="E190" s="162"/>
      <c r="F190" s="163" t="str">
        <f t="shared" si="21"/>
        <v/>
      </c>
      <c r="G190" s="162"/>
      <c r="H190" s="162"/>
      <c r="I190" s="162"/>
      <c r="J190" s="164" t="str">
        <f t="shared" si="23"/>
        <v/>
      </c>
      <c r="K190" s="165" t="str">
        <f t="shared" si="24"/>
        <v/>
      </c>
      <c r="L190" s="165" t="str">
        <f t="shared" si="22"/>
        <v/>
      </c>
      <c r="M190" s="166" t="str">
        <f t="shared" si="25"/>
        <v/>
      </c>
      <c r="N190" s="167" t="str">
        <f t="shared" si="26"/>
        <v/>
      </c>
    </row>
    <row r="191" spans="1:14" ht="18" x14ac:dyDescent="0.35">
      <c r="A191" t="str">
        <f>IFERROR(B191&amp;" "&amp;COUNTIFS($B$4:B191,B191),"")</f>
        <v xml:space="preserve"> 0</v>
      </c>
      <c r="B191" s="169"/>
      <c r="C191" s="162"/>
      <c r="D191" s="162"/>
      <c r="E191" s="162"/>
      <c r="F191" s="163" t="str">
        <f t="shared" si="21"/>
        <v/>
      </c>
      <c r="G191" s="162"/>
      <c r="H191" s="162"/>
      <c r="I191" s="162"/>
      <c r="J191" s="164" t="str">
        <f t="shared" si="23"/>
        <v/>
      </c>
      <c r="K191" s="165" t="str">
        <f t="shared" si="24"/>
        <v/>
      </c>
      <c r="L191" s="165" t="str">
        <f t="shared" si="22"/>
        <v/>
      </c>
      <c r="M191" s="166" t="str">
        <f t="shared" si="25"/>
        <v/>
      </c>
      <c r="N191" s="167" t="str">
        <f t="shared" si="26"/>
        <v/>
      </c>
    </row>
    <row r="192" spans="1:14" ht="18" x14ac:dyDescent="0.35">
      <c r="A192" t="str">
        <f>IFERROR(B192&amp;" "&amp;COUNTIFS($B$4:B192,B192),"")</f>
        <v xml:space="preserve"> 0</v>
      </c>
      <c r="B192" s="169"/>
      <c r="C192" s="162"/>
      <c r="D192" s="162"/>
      <c r="E192" s="162"/>
      <c r="F192" s="163" t="str">
        <f t="shared" si="21"/>
        <v/>
      </c>
      <c r="G192" s="162"/>
      <c r="H192" s="162"/>
      <c r="I192" s="162"/>
      <c r="J192" s="164" t="str">
        <f t="shared" si="23"/>
        <v/>
      </c>
      <c r="K192" s="165" t="str">
        <f t="shared" si="24"/>
        <v/>
      </c>
      <c r="L192" s="165" t="str">
        <f t="shared" si="22"/>
        <v/>
      </c>
      <c r="M192" s="166" t="str">
        <f t="shared" si="25"/>
        <v/>
      </c>
      <c r="N192" s="167" t="str">
        <f t="shared" si="26"/>
        <v/>
      </c>
    </row>
    <row r="193" spans="1:14" ht="18" x14ac:dyDescent="0.35">
      <c r="A193" t="str">
        <f>IFERROR(B193&amp;" "&amp;COUNTIFS($B$4:B193,B193),"")</f>
        <v xml:space="preserve"> 0</v>
      </c>
      <c r="B193" s="169"/>
      <c r="C193" s="162"/>
      <c r="D193" s="162"/>
      <c r="E193" s="162"/>
      <c r="F193" s="163" t="str">
        <f t="shared" si="21"/>
        <v/>
      </c>
      <c r="G193" s="162"/>
      <c r="H193" s="162"/>
      <c r="I193" s="162"/>
      <c r="J193" s="164" t="str">
        <f t="shared" si="23"/>
        <v/>
      </c>
      <c r="K193" s="165" t="str">
        <f t="shared" si="24"/>
        <v/>
      </c>
      <c r="L193" s="165" t="str">
        <f t="shared" si="22"/>
        <v/>
      </c>
      <c r="M193" s="166" t="str">
        <f t="shared" si="25"/>
        <v/>
      </c>
      <c r="N193" s="167" t="str">
        <f t="shared" si="26"/>
        <v/>
      </c>
    </row>
    <row r="194" spans="1:14" ht="18" x14ac:dyDescent="0.35">
      <c r="A194" t="str">
        <f>IFERROR(B194&amp;" "&amp;COUNTIFS($B$4:B194,B194),"")</f>
        <v xml:space="preserve"> 0</v>
      </c>
      <c r="B194" s="169"/>
      <c r="C194" s="162"/>
      <c r="D194" s="162"/>
      <c r="E194" s="162"/>
      <c r="F194" s="163" t="str">
        <f t="shared" si="21"/>
        <v/>
      </c>
      <c r="G194" s="162"/>
      <c r="H194" s="162"/>
      <c r="I194" s="162"/>
      <c r="J194" s="164" t="str">
        <f t="shared" si="23"/>
        <v/>
      </c>
      <c r="K194" s="165" t="str">
        <f t="shared" si="24"/>
        <v/>
      </c>
      <c r="L194" s="165" t="str">
        <f t="shared" si="22"/>
        <v/>
      </c>
      <c r="M194" s="166" t="str">
        <f t="shared" si="25"/>
        <v/>
      </c>
      <c r="N194" s="167" t="str">
        <f t="shared" si="26"/>
        <v/>
      </c>
    </row>
    <row r="195" spans="1:14" ht="18" x14ac:dyDescent="0.35">
      <c r="A195" t="str">
        <f>IFERROR(B195&amp;" "&amp;COUNTIFS($B$4:B195,B195),"")</f>
        <v xml:space="preserve"> 0</v>
      </c>
      <c r="B195" s="169"/>
      <c r="C195" s="162"/>
      <c r="D195" s="162"/>
      <c r="E195" s="162"/>
      <c r="F195" s="163" t="str">
        <f t="shared" si="21"/>
        <v/>
      </c>
      <c r="G195" s="162"/>
      <c r="H195" s="162"/>
      <c r="I195" s="162"/>
      <c r="J195" s="164" t="str">
        <f t="shared" si="23"/>
        <v/>
      </c>
      <c r="K195" s="165" t="str">
        <f t="shared" si="24"/>
        <v/>
      </c>
      <c r="L195" s="165" t="str">
        <f t="shared" si="22"/>
        <v/>
      </c>
      <c r="M195" s="166" t="str">
        <f t="shared" si="25"/>
        <v/>
      </c>
      <c r="N195" s="167" t="str">
        <f t="shared" si="26"/>
        <v/>
      </c>
    </row>
    <row r="196" spans="1:14" ht="18" x14ac:dyDescent="0.35">
      <c r="A196" t="str">
        <f>IFERROR(B196&amp;" "&amp;COUNTIFS($B$4:B196,B196),"")</f>
        <v xml:space="preserve"> 0</v>
      </c>
      <c r="B196" s="169"/>
      <c r="C196" s="162"/>
      <c r="D196" s="162"/>
      <c r="E196" s="162"/>
      <c r="F196" s="163" t="str">
        <f t="shared" ref="F196:F259" si="27">IFERROR(VLOOKUP(E196,data_guru,3,FALSE),"")</f>
        <v/>
      </c>
      <c r="G196" s="162"/>
      <c r="H196" s="162"/>
      <c r="I196" s="162"/>
      <c r="J196" s="164" t="str">
        <f t="shared" si="23"/>
        <v/>
      </c>
      <c r="K196" s="165" t="str">
        <f t="shared" si="24"/>
        <v/>
      </c>
      <c r="L196" s="165" t="str">
        <f t="shared" ref="L196:L259" si="28">IFERROR(VLOOKUP(B196,data_kas3,4,FALSE),"")</f>
        <v/>
      </c>
      <c r="M196" s="166" t="str">
        <f t="shared" si="25"/>
        <v/>
      </c>
      <c r="N196" s="167" t="str">
        <f t="shared" si="26"/>
        <v/>
      </c>
    </row>
    <row r="197" spans="1:14" ht="18" x14ac:dyDescent="0.35">
      <c r="A197" t="str">
        <f>IFERROR(B197&amp;" "&amp;COUNTIFS($B$4:B197,B197),"")</f>
        <v xml:space="preserve"> 0</v>
      </c>
      <c r="B197" s="169"/>
      <c r="C197" s="162"/>
      <c r="D197" s="162"/>
      <c r="E197" s="162"/>
      <c r="F197" s="163" t="str">
        <f t="shared" si="27"/>
        <v/>
      </c>
      <c r="G197" s="162"/>
      <c r="H197" s="162"/>
      <c r="I197" s="162"/>
      <c r="J197" s="164" t="str">
        <f t="shared" si="23"/>
        <v/>
      </c>
      <c r="K197" s="165" t="str">
        <f t="shared" si="24"/>
        <v/>
      </c>
      <c r="L197" s="165" t="str">
        <f t="shared" si="28"/>
        <v/>
      </c>
      <c r="M197" s="166" t="str">
        <f t="shared" si="25"/>
        <v/>
      </c>
      <c r="N197" s="167" t="str">
        <f t="shared" si="26"/>
        <v/>
      </c>
    </row>
    <row r="198" spans="1:14" ht="18" x14ac:dyDescent="0.35">
      <c r="A198" t="str">
        <f>IFERROR(B198&amp;" "&amp;COUNTIFS($B$4:B198,B198),"")</f>
        <v xml:space="preserve"> 0</v>
      </c>
      <c r="B198" s="169"/>
      <c r="C198" s="162"/>
      <c r="D198" s="162"/>
      <c r="E198" s="162"/>
      <c r="F198" s="163" t="str">
        <f t="shared" si="27"/>
        <v/>
      </c>
      <c r="G198" s="162"/>
      <c r="H198" s="162"/>
      <c r="I198" s="162"/>
      <c r="J198" s="164" t="str">
        <f t="shared" si="23"/>
        <v/>
      </c>
      <c r="K198" s="165" t="str">
        <f t="shared" si="24"/>
        <v/>
      </c>
      <c r="L198" s="165" t="str">
        <f t="shared" si="28"/>
        <v/>
      </c>
      <c r="M198" s="166" t="str">
        <f t="shared" si="25"/>
        <v/>
      </c>
      <c r="N198" s="167" t="str">
        <f t="shared" si="26"/>
        <v/>
      </c>
    </row>
    <row r="199" spans="1:14" ht="18" x14ac:dyDescent="0.35">
      <c r="A199" t="str">
        <f>IFERROR(B199&amp;" "&amp;COUNTIFS($B$4:B199,B199),"")</f>
        <v xml:space="preserve"> 0</v>
      </c>
      <c r="B199" s="169"/>
      <c r="C199" s="162"/>
      <c r="D199" s="162"/>
      <c r="E199" s="162"/>
      <c r="F199" s="163" t="str">
        <f t="shared" si="27"/>
        <v/>
      </c>
      <c r="G199" s="162"/>
      <c r="H199" s="162"/>
      <c r="I199" s="162"/>
      <c r="J199" s="164" t="str">
        <f t="shared" si="23"/>
        <v/>
      </c>
      <c r="K199" s="165" t="str">
        <f t="shared" si="24"/>
        <v/>
      </c>
      <c r="L199" s="165" t="str">
        <f t="shared" si="28"/>
        <v/>
      </c>
      <c r="M199" s="166" t="str">
        <f t="shared" si="25"/>
        <v/>
      </c>
      <c r="N199" s="167" t="str">
        <f t="shared" si="26"/>
        <v/>
      </c>
    </row>
    <row r="200" spans="1:14" ht="18" x14ac:dyDescent="0.35">
      <c r="A200" t="str">
        <f>IFERROR(B200&amp;" "&amp;COUNTIFS($B$4:B200,B200),"")</f>
        <v xml:space="preserve"> 0</v>
      </c>
      <c r="B200" s="169"/>
      <c r="C200" s="162"/>
      <c r="D200" s="162"/>
      <c r="E200" s="162"/>
      <c r="F200" s="163" t="str">
        <f t="shared" si="27"/>
        <v/>
      </c>
      <c r="G200" s="162"/>
      <c r="H200" s="162"/>
      <c r="I200" s="162"/>
      <c r="J200" s="164" t="str">
        <f t="shared" si="23"/>
        <v/>
      </c>
      <c r="K200" s="165" t="str">
        <f t="shared" si="24"/>
        <v/>
      </c>
      <c r="L200" s="165" t="str">
        <f t="shared" si="28"/>
        <v/>
      </c>
      <c r="M200" s="166" t="str">
        <f t="shared" si="25"/>
        <v/>
      </c>
      <c r="N200" s="167" t="str">
        <f t="shared" si="26"/>
        <v/>
      </c>
    </row>
    <row r="201" spans="1:14" ht="18" x14ac:dyDescent="0.35">
      <c r="A201" t="str">
        <f>IFERROR(B201&amp;" "&amp;COUNTIFS($B$4:B201,B201),"")</f>
        <v xml:space="preserve"> 0</v>
      </c>
      <c r="B201" s="169"/>
      <c r="C201" s="162"/>
      <c r="D201" s="162"/>
      <c r="E201" s="162"/>
      <c r="F201" s="163" t="str">
        <f t="shared" si="27"/>
        <v/>
      </c>
      <c r="G201" s="162"/>
      <c r="H201" s="162"/>
      <c r="I201" s="162"/>
      <c r="J201" s="164" t="str">
        <f t="shared" si="23"/>
        <v/>
      </c>
      <c r="K201" s="165" t="str">
        <f t="shared" si="24"/>
        <v/>
      </c>
      <c r="L201" s="165" t="str">
        <f t="shared" si="28"/>
        <v/>
      </c>
      <c r="M201" s="166" t="str">
        <f t="shared" si="25"/>
        <v/>
      </c>
      <c r="N201" s="167" t="str">
        <f t="shared" si="26"/>
        <v/>
      </c>
    </row>
    <row r="202" spans="1:14" ht="18" x14ac:dyDescent="0.35">
      <c r="A202" t="str">
        <f>IFERROR(B202&amp;" "&amp;COUNTIFS($B$4:B202,B202),"")</f>
        <v xml:space="preserve"> 0</v>
      </c>
      <c r="B202" s="169"/>
      <c r="C202" s="162"/>
      <c r="D202" s="162"/>
      <c r="E202" s="162"/>
      <c r="F202" s="163" t="str">
        <f t="shared" si="27"/>
        <v/>
      </c>
      <c r="G202" s="162"/>
      <c r="H202" s="162"/>
      <c r="I202" s="162"/>
      <c r="J202" s="164" t="str">
        <f t="shared" si="23"/>
        <v/>
      </c>
      <c r="K202" s="165" t="str">
        <f t="shared" si="24"/>
        <v/>
      </c>
      <c r="L202" s="165" t="str">
        <f t="shared" si="28"/>
        <v/>
      </c>
      <c r="M202" s="166" t="str">
        <f t="shared" si="25"/>
        <v/>
      </c>
      <c r="N202" s="167" t="str">
        <f t="shared" si="26"/>
        <v/>
      </c>
    </row>
    <row r="203" spans="1:14" ht="18" x14ac:dyDescent="0.35">
      <c r="A203" t="str">
        <f>IFERROR(B203&amp;" "&amp;COUNTIFS($B$4:B203,B203),"")</f>
        <v xml:space="preserve"> 0</v>
      </c>
      <c r="B203" s="169"/>
      <c r="C203" s="162"/>
      <c r="D203" s="162"/>
      <c r="E203" s="162"/>
      <c r="F203" s="163" t="str">
        <f t="shared" si="27"/>
        <v/>
      </c>
      <c r="G203" s="162"/>
      <c r="H203" s="162"/>
      <c r="I203" s="162"/>
      <c r="J203" s="164" t="str">
        <f t="shared" si="23"/>
        <v/>
      </c>
      <c r="K203" s="165" t="str">
        <f t="shared" si="24"/>
        <v/>
      </c>
      <c r="L203" s="165" t="str">
        <f t="shared" si="28"/>
        <v/>
      </c>
      <c r="M203" s="166" t="str">
        <f t="shared" si="25"/>
        <v/>
      </c>
      <c r="N203" s="167" t="str">
        <f t="shared" si="26"/>
        <v/>
      </c>
    </row>
    <row r="204" spans="1:14" ht="18" x14ac:dyDescent="0.35">
      <c r="A204" t="str">
        <f>IFERROR(B204&amp;" "&amp;COUNTIFS($B$4:B204,B204),"")</f>
        <v xml:space="preserve"> 0</v>
      </c>
      <c r="B204" s="169"/>
      <c r="C204" s="162"/>
      <c r="D204" s="162"/>
      <c r="E204" s="162"/>
      <c r="F204" s="163" t="str">
        <f t="shared" si="27"/>
        <v/>
      </c>
      <c r="G204" s="162"/>
      <c r="H204" s="162"/>
      <c r="I204" s="162"/>
      <c r="J204" s="164" t="str">
        <f t="shared" si="23"/>
        <v/>
      </c>
      <c r="K204" s="165" t="str">
        <f t="shared" si="24"/>
        <v/>
      </c>
      <c r="L204" s="165" t="str">
        <f t="shared" si="28"/>
        <v/>
      </c>
      <c r="M204" s="166" t="str">
        <f t="shared" si="25"/>
        <v/>
      </c>
      <c r="N204" s="167" t="str">
        <f t="shared" si="26"/>
        <v/>
      </c>
    </row>
    <row r="205" spans="1:14" ht="18" x14ac:dyDescent="0.35">
      <c r="A205" t="str">
        <f>IFERROR(B205&amp;" "&amp;COUNTIFS($B$4:B205,B205),"")</f>
        <v xml:space="preserve"> 0</v>
      </c>
      <c r="B205" s="169"/>
      <c r="C205" s="162"/>
      <c r="D205" s="162"/>
      <c r="E205" s="162"/>
      <c r="F205" s="163" t="str">
        <f t="shared" si="27"/>
        <v/>
      </c>
      <c r="G205" s="162"/>
      <c r="H205" s="162"/>
      <c r="I205" s="162"/>
      <c r="J205" s="164" t="str">
        <f t="shared" si="23"/>
        <v/>
      </c>
      <c r="K205" s="165" t="str">
        <f t="shared" si="24"/>
        <v/>
      </c>
      <c r="L205" s="165" t="str">
        <f t="shared" si="28"/>
        <v/>
      </c>
      <c r="M205" s="166" t="str">
        <f t="shared" si="25"/>
        <v/>
      </c>
      <c r="N205" s="167" t="str">
        <f t="shared" si="26"/>
        <v/>
      </c>
    </row>
    <row r="206" spans="1:14" ht="18" x14ac:dyDescent="0.35">
      <c r="A206" t="str">
        <f>IFERROR(B206&amp;" "&amp;COUNTIFS($B$4:B206,B206),"")</f>
        <v xml:space="preserve"> 0</v>
      </c>
      <c r="B206" s="169"/>
      <c r="C206" s="162"/>
      <c r="D206" s="162"/>
      <c r="E206" s="162"/>
      <c r="F206" s="163" t="str">
        <f t="shared" si="27"/>
        <v/>
      </c>
      <c r="G206" s="162"/>
      <c r="H206" s="162"/>
      <c r="I206" s="162"/>
      <c r="J206" s="164" t="str">
        <f t="shared" si="23"/>
        <v/>
      </c>
      <c r="K206" s="165" t="str">
        <f t="shared" si="24"/>
        <v/>
      </c>
      <c r="L206" s="165" t="str">
        <f t="shared" si="28"/>
        <v/>
      </c>
      <c r="M206" s="166" t="str">
        <f t="shared" si="25"/>
        <v/>
      </c>
      <c r="N206" s="167" t="str">
        <f t="shared" si="26"/>
        <v/>
      </c>
    </row>
    <row r="207" spans="1:14" ht="18" x14ac:dyDescent="0.35">
      <c r="A207" t="str">
        <f>IFERROR(B207&amp;" "&amp;COUNTIFS($B$4:B207,B207),"")</f>
        <v xml:space="preserve"> 0</v>
      </c>
      <c r="B207" s="169"/>
      <c r="C207" s="162"/>
      <c r="D207" s="162"/>
      <c r="E207" s="162"/>
      <c r="F207" s="163" t="str">
        <f t="shared" si="27"/>
        <v/>
      </c>
      <c r="G207" s="162"/>
      <c r="H207" s="162"/>
      <c r="I207" s="162"/>
      <c r="J207" s="164" t="str">
        <f t="shared" si="23"/>
        <v/>
      </c>
      <c r="K207" s="165" t="str">
        <f t="shared" si="24"/>
        <v/>
      </c>
      <c r="L207" s="165" t="str">
        <f t="shared" si="28"/>
        <v/>
      </c>
      <c r="M207" s="166" t="str">
        <f t="shared" si="25"/>
        <v/>
      </c>
      <c r="N207" s="167" t="str">
        <f t="shared" si="26"/>
        <v/>
      </c>
    </row>
    <row r="208" spans="1:14" ht="18" x14ac:dyDescent="0.35">
      <c r="A208" t="str">
        <f>IFERROR(B208&amp;" "&amp;COUNTIFS($B$4:B208,B208),"")</f>
        <v xml:space="preserve"> 0</v>
      </c>
      <c r="B208" s="169"/>
      <c r="C208" s="162"/>
      <c r="D208" s="162"/>
      <c r="E208" s="162"/>
      <c r="F208" s="163" t="str">
        <f t="shared" si="27"/>
        <v/>
      </c>
      <c r="G208" s="162"/>
      <c r="H208" s="162"/>
      <c r="I208" s="162"/>
      <c r="J208" s="164" t="str">
        <f t="shared" si="23"/>
        <v/>
      </c>
      <c r="K208" s="165" t="str">
        <f t="shared" si="24"/>
        <v/>
      </c>
      <c r="L208" s="165" t="str">
        <f t="shared" si="28"/>
        <v/>
      </c>
      <c r="M208" s="166" t="str">
        <f t="shared" si="25"/>
        <v/>
      </c>
      <c r="N208" s="167" t="str">
        <f t="shared" si="26"/>
        <v/>
      </c>
    </row>
    <row r="209" spans="1:14" ht="18" x14ac:dyDescent="0.35">
      <c r="A209" t="str">
        <f>IFERROR(B209&amp;" "&amp;COUNTIFS($B$4:B209,B209),"")</f>
        <v xml:space="preserve"> 0</v>
      </c>
      <c r="B209" s="169"/>
      <c r="C209" s="162"/>
      <c r="D209" s="162"/>
      <c r="E209" s="162"/>
      <c r="F209" s="163" t="str">
        <f t="shared" si="27"/>
        <v/>
      </c>
      <c r="G209" s="162"/>
      <c r="H209" s="162"/>
      <c r="I209" s="162"/>
      <c r="J209" s="164" t="str">
        <f t="shared" si="23"/>
        <v/>
      </c>
      <c r="K209" s="165" t="str">
        <f t="shared" si="24"/>
        <v/>
      </c>
      <c r="L209" s="165" t="str">
        <f t="shared" si="28"/>
        <v/>
      </c>
      <c r="M209" s="166" t="str">
        <f t="shared" si="25"/>
        <v/>
      </c>
      <c r="N209" s="167" t="str">
        <f t="shared" si="26"/>
        <v/>
      </c>
    </row>
    <row r="210" spans="1:14" ht="18" x14ac:dyDescent="0.35">
      <c r="A210" t="str">
        <f>IFERROR(B210&amp;" "&amp;COUNTIFS($B$4:B210,B210),"")</f>
        <v xml:space="preserve"> 0</v>
      </c>
      <c r="B210" s="169"/>
      <c r="C210" s="162"/>
      <c r="D210" s="162"/>
      <c r="E210" s="162"/>
      <c r="F210" s="163" t="str">
        <f t="shared" si="27"/>
        <v/>
      </c>
      <c r="G210" s="162"/>
      <c r="H210" s="162"/>
      <c r="I210" s="162"/>
      <c r="J210" s="164" t="str">
        <f t="shared" si="23"/>
        <v/>
      </c>
      <c r="K210" s="165" t="str">
        <f t="shared" si="24"/>
        <v/>
      </c>
      <c r="L210" s="165" t="str">
        <f t="shared" si="28"/>
        <v/>
      </c>
      <c r="M210" s="166" t="str">
        <f t="shared" si="25"/>
        <v/>
      </c>
      <c r="N210" s="167" t="str">
        <f t="shared" si="26"/>
        <v/>
      </c>
    </row>
    <row r="211" spans="1:14" ht="18" x14ac:dyDescent="0.35">
      <c r="A211" t="str">
        <f>IFERROR(B211&amp;" "&amp;COUNTIFS($B$4:B211,B211),"")</f>
        <v xml:space="preserve"> 0</v>
      </c>
      <c r="B211" s="169"/>
      <c r="C211" s="162"/>
      <c r="D211" s="162"/>
      <c r="E211" s="162"/>
      <c r="F211" s="163" t="str">
        <f t="shared" si="27"/>
        <v/>
      </c>
      <c r="G211" s="162"/>
      <c r="H211" s="162"/>
      <c r="I211" s="162"/>
      <c r="J211" s="164" t="str">
        <f t="shared" si="23"/>
        <v/>
      </c>
      <c r="K211" s="165" t="str">
        <f t="shared" si="24"/>
        <v/>
      </c>
      <c r="L211" s="165" t="str">
        <f t="shared" si="28"/>
        <v/>
      </c>
      <c r="M211" s="166" t="str">
        <f t="shared" si="25"/>
        <v/>
      </c>
      <c r="N211" s="167" t="str">
        <f t="shared" si="26"/>
        <v/>
      </c>
    </row>
    <row r="212" spans="1:14" ht="18" x14ac:dyDescent="0.35">
      <c r="A212" t="str">
        <f>IFERROR(B212&amp;" "&amp;COUNTIFS($B$4:B212,B212),"")</f>
        <v xml:space="preserve"> 0</v>
      </c>
      <c r="B212" s="169"/>
      <c r="C212" s="162"/>
      <c r="D212" s="162"/>
      <c r="E212" s="162"/>
      <c r="F212" s="163" t="str">
        <f t="shared" si="27"/>
        <v/>
      </c>
      <c r="G212" s="162"/>
      <c r="H212" s="162"/>
      <c r="I212" s="162"/>
      <c r="J212" s="164" t="str">
        <f t="shared" si="23"/>
        <v/>
      </c>
      <c r="K212" s="165" t="str">
        <f t="shared" si="24"/>
        <v/>
      </c>
      <c r="L212" s="165" t="str">
        <f t="shared" si="28"/>
        <v/>
      </c>
      <c r="M212" s="166" t="str">
        <f t="shared" si="25"/>
        <v/>
      </c>
      <c r="N212" s="167" t="str">
        <f t="shared" si="26"/>
        <v/>
      </c>
    </row>
    <row r="213" spans="1:14" ht="18" x14ac:dyDescent="0.35">
      <c r="A213" t="str">
        <f>IFERROR(B213&amp;" "&amp;COUNTIFS($B$4:B213,B213),"")</f>
        <v xml:space="preserve"> 0</v>
      </c>
      <c r="B213" s="169"/>
      <c r="C213" s="162"/>
      <c r="D213" s="162"/>
      <c r="E213" s="162"/>
      <c r="F213" s="163" t="str">
        <f t="shared" si="27"/>
        <v/>
      </c>
      <c r="G213" s="162"/>
      <c r="H213" s="162"/>
      <c r="I213" s="162"/>
      <c r="J213" s="164" t="str">
        <f t="shared" si="23"/>
        <v/>
      </c>
      <c r="K213" s="165" t="str">
        <f t="shared" si="24"/>
        <v/>
      </c>
      <c r="L213" s="165" t="str">
        <f t="shared" si="28"/>
        <v/>
      </c>
      <c r="M213" s="166" t="str">
        <f t="shared" si="25"/>
        <v/>
      </c>
      <c r="N213" s="167" t="str">
        <f t="shared" si="26"/>
        <v/>
      </c>
    </row>
    <row r="214" spans="1:14" ht="18" x14ac:dyDescent="0.35">
      <c r="A214" t="str">
        <f>IFERROR(B214&amp;" "&amp;COUNTIFS($B$4:B214,B214),"")</f>
        <v xml:space="preserve"> 0</v>
      </c>
      <c r="B214" s="169"/>
      <c r="C214" s="162"/>
      <c r="D214" s="162"/>
      <c r="E214" s="162"/>
      <c r="F214" s="163" t="str">
        <f t="shared" si="27"/>
        <v/>
      </c>
      <c r="G214" s="162"/>
      <c r="H214" s="162"/>
      <c r="I214" s="162"/>
      <c r="J214" s="164" t="str">
        <f t="shared" si="23"/>
        <v/>
      </c>
      <c r="K214" s="165" t="str">
        <f t="shared" si="24"/>
        <v/>
      </c>
      <c r="L214" s="165" t="str">
        <f t="shared" si="28"/>
        <v/>
      </c>
      <c r="M214" s="166" t="str">
        <f t="shared" si="25"/>
        <v/>
      </c>
      <c r="N214" s="167" t="str">
        <f t="shared" si="26"/>
        <v/>
      </c>
    </row>
    <row r="215" spans="1:14" ht="18" x14ac:dyDescent="0.35">
      <c r="A215" t="str">
        <f>IFERROR(B215&amp;" "&amp;COUNTIFS($B$4:B215,B215),"")</f>
        <v xml:space="preserve"> 0</v>
      </c>
      <c r="B215" s="169"/>
      <c r="C215" s="162"/>
      <c r="D215" s="162"/>
      <c r="E215" s="162"/>
      <c r="F215" s="163" t="str">
        <f t="shared" si="27"/>
        <v/>
      </c>
      <c r="G215" s="162"/>
      <c r="H215" s="162"/>
      <c r="I215" s="162"/>
      <c r="J215" s="164" t="str">
        <f t="shared" si="23"/>
        <v/>
      </c>
      <c r="K215" s="165" t="str">
        <f t="shared" si="24"/>
        <v/>
      </c>
      <c r="L215" s="165" t="str">
        <f t="shared" si="28"/>
        <v/>
      </c>
      <c r="M215" s="166" t="str">
        <f t="shared" si="25"/>
        <v/>
      </c>
      <c r="N215" s="167" t="str">
        <f t="shared" si="26"/>
        <v/>
      </c>
    </row>
    <row r="216" spans="1:14" ht="18" x14ac:dyDescent="0.35">
      <c r="A216" t="str">
        <f>IFERROR(B216&amp;" "&amp;COUNTIFS($B$4:B216,B216),"")</f>
        <v xml:space="preserve"> 0</v>
      </c>
      <c r="B216" s="169"/>
      <c r="C216" s="162"/>
      <c r="D216" s="162"/>
      <c r="E216" s="162"/>
      <c r="F216" s="163" t="str">
        <f t="shared" si="27"/>
        <v/>
      </c>
      <c r="G216" s="162"/>
      <c r="H216" s="162"/>
      <c r="I216" s="162"/>
      <c r="J216" s="164" t="str">
        <f t="shared" si="23"/>
        <v/>
      </c>
      <c r="K216" s="165" t="str">
        <f t="shared" si="24"/>
        <v/>
      </c>
      <c r="L216" s="165" t="str">
        <f t="shared" si="28"/>
        <v/>
      </c>
      <c r="M216" s="166" t="str">
        <f t="shared" si="25"/>
        <v/>
      </c>
      <c r="N216" s="167" t="str">
        <f t="shared" si="26"/>
        <v/>
      </c>
    </row>
    <row r="217" spans="1:14" ht="18" x14ac:dyDescent="0.35">
      <c r="A217" t="str">
        <f>IFERROR(B217&amp;" "&amp;COUNTIFS($B$4:B217,B217),"")</f>
        <v xml:space="preserve"> 0</v>
      </c>
      <c r="B217" s="169"/>
      <c r="C217" s="162"/>
      <c r="D217" s="162"/>
      <c r="E217" s="162"/>
      <c r="F217" s="163" t="str">
        <f t="shared" si="27"/>
        <v/>
      </c>
      <c r="G217" s="162"/>
      <c r="H217" s="162"/>
      <c r="I217" s="162"/>
      <c r="J217" s="164" t="str">
        <f t="shared" si="23"/>
        <v/>
      </c>
      <c r="K217" s="165" t="str">
        <f t="shared" si="24"/>
        <v/>
      </c>
      <c r="L217" s="165" t="str">
        <f t="shared" si="28"/>
        <v/>
      </c>
      <c r="M217" s="166" t="str">
        <f t="shared" si="25"/>
        <v/>
      </c>
      <c r="N217" s="167" t="str">
        <f t="shared" si="26"/>
        <v/>
      </c>
    </row>
    <row r="218" spans="1:14" ht="18" x14ac:dyDescent="0.35">
      <c r="A218" t="str">
        <f>IFERROR(B218&amp;" "&amp;COUNTIFS($B$4:B218,B218),"")</f>
        <v xml:space="preserve"> 0</v>
      </c>
      <c r="B218" s="169"/>
      <c r="C218" s="162"/>
      <c r="D218" s="162"/>
      <c r="E218" s="162"/>
      <c r="F218" s="163" t="str">
        <f t="shared" si="27"/>
        <v/>
      </c>
      <c r="G218" s="162"/>
      <c r="H218" s="162"/>
      <c r="I218" s="162"/>
      <c r="J218" s="164" t="str">
        <f t="shared" si="23"/>
        <v/>
      </c>
      <c r="K218" s="165" t="str">
        <f t="shared" si="24"/>
        <v/>
      </c>
      <c r="L218" s="165" t="str">
        <f t="shared" si="28"/>
        <v/>
      </c>
      <c r="M218" s="166" t="str">
        <f t="shared" si="25"/>
        <v/>
      </c>
      <c r="N218" s="167" t="str">
        <f t="shared" si="26"/>
        <v/>
      </c>
    </row>
    <row r="219" spans="1:14" ht="18" x14ac:dyDescent="0.35">
      <c r="A219" t="str">
        <f>IFERROR(B219&amp;" "&amp;COUNTIFS($B$4:B219,B219),"")</f>
        <v xml:space="preserve"> 0</v>
      </c>
      <c r="B219" s="169"/>
      <c r="C219" s="162"/>
      <c r="D219" s="162"/>
      <c r="E219" s="162"/>
      <c r="F219" s="163" t="str">
        <f t="shared" si="27"/>
        <v/>
      </c>
      <c r="G219" s="162"/>
      <c r="H219" s="162"/>
      <c r="I219" s="162"/>
      <c r="J219" s="164" t="str">
        <f t="shared" si="23"/>
        <v/>
      </c>
      <c r="K219" s="165" t="str">
        <f t="shared" si="24"/>
        <v/>
      </c>
      <c r="L219" s="165" t="str">
        <f t="shared" si="28"/>
        <v/>
      </c>
      <c r="M219" s="166" t="str">
        <f t="shared" si="25"/>
        <v/>
      </c>
      <c r="N219" s="167" t="str">
        <f t="shared" si="26"/>
        <v/>
      </c>
    </row>
    <row r="220" spans="1:14" ht="18" x14ac:dyDescent="0.35">
      <c r="A220" t="str">
        <f>IFERROR(B220&amp;" "&amp;COUNTIFS($B$4:B220,B220),"")</f>
        <v xml:space="preserve"> 0</v>
      </c>
      <c r="B220" s="169"/>
      <c r="C220" s="162"/>
      <c r="D220" s="162"/>
      <c r="E220" s="162"/>
      <c r="F220" s="163" t="str">
        <f t="shared" si="27"/>
        <v/>
      </c>
      <c r="G220" s="162"/>
      <c r="H220" s="162"/>
      <c r="I220" s="162"/>
      <c r="J220" s="164" t="str">
        <f t="shared" si="23"/>
        <v/>
      </c>
      <c r="K220" s="165" t="str">
        <f t="shared" si="24"/>
        <v/>
      </c>
      <c r="L220" s="165" t="str">
        <f t="shared" si="28"/>
        <v/>
      </c>
      <c r="M220" s="166" t="str">
        <f t="shared" si="25"/>
        <v/>
      </c>
      <c r="N220" s="167" t="str">
        <f t="shared" si="26"/>
        <v/>
      </c>
    </row>
    <row r="221" spans="1:14" ht="18" x14ac:dyDescent="0.35">
      <c r="A221" t="str">
        <f>IFERROR(B221&amp;" "&amp;COUNTIFS($B$4:B221,B221),"")</f>
        <v xml:space="preserve"> 0</v>
      </c>
      <c r="B221" s="169"/>
      <c r="C221" s="162"/>
      <c r="D221" s="162"/>
      <c r="E221" s="162"/>
      <c r="F221" s="163" t="str">
        <f t="shared" si="27"/>
        <v/>
      </c>
      <c r="G221" s="162"/>
      <c r="H221" s="162"/>
      <c r="I221" s="162"/>
      <c r="J221" s="164" t="str">
        <f t="shared" si="23"/>
        <v/>
      </c>
      <c r="K221" s="165" t="str">
        <f t="shared" si="24"/>
        <v/>
      </c>
      <c r="L221" s="165" t="str">
        <f t="shared" si="28"/>
        <v/>
      </c>
      <c r="M221" s="166" t="str">
        <f t="shared" si="25"/>
        <v/>
      </c>
      <c r="N221" s="167" t="str">
        <f t="shared" si="26"/>
        <v/>
      </c>
    </row>
    <row r="222" spans="1:14" ht="18" x14ac:dyDescent="0.35">
      <c r="A222" t="str">
        <f>IFERROR(B222&amp;" "&amp;COUNTIFS($B$4:B222,B222),"")</f>
        <v xml:space="preserve"> 0</v>
      </c>
      <c r="B222" s="169"/>
      <c r="C222" s="162"/>
      <c r="D222" s="162"/>
      <c r="E222" s="162"/>
      <c r="F222" s="163" t="str">
        <f t="shared" si="27"/>
        <v/>
      </c>
      <c r="G222" s="162"/>
      <c r="H222" s="162"/>
      <c r="I222" s="162"/>
      <c r="J222" s="164" t="str">
        <f t="shared" si="23"/>
        <v/>
      </c>
      <c r="K222" s="165" t="str">
        <f t="shared" si="24"/>
        <v/>
      </c>
      <c r="L222" s="165" t="str">
        <f t="shared" si="28"/>
        <v/>
      </c>
      <c r="M222" s="166" t="str">
        <f t="shared" si="25"/>
        <v/>
      </c>
      <c r="N222" s="167" t="str">
        <f t="shared" si="26"/>
        <v/>
      </c>
    </row>
    <row r="223" spans="1:14" ht="18" x14ac:dyDescent="0.35">
      <c r="A223" t="str">
        <f>IFERROR(B223&amp;" "&amp;COUNTIFS($B$4:B223,B223),"")</f>
        <v xml:space="preserve"> 0</v>
      </c>
      <c r="B223" s="169"/>
      <c r="C223" s="162"/>
      <c r="D223" s="162"/>
      <c r="E223" s="162"/>
      <c r="F223" s="163" t="str">
        <f t="shared" si="27"/>
        <v/>
      </c>
      <c r="G223" s="162"/>
      <c r="H223" s="162"/>
      <c r="I223" s="162"/>
      <c r="J223" s="164" t="str">
        <f t="shared" si="23"/>
        <v/>
      </c>
      <c r="K223" s="165" t="str">
        <f t="shared" si="24"/>
        <v/>
      </c>
      <c r="L223" s="165" t="str">
        <f t="shared" si="28"/>
        <v/>
      </c>
      <c r="M223" s="166" t="str">
        <f t="shared" si="25"/>
        <v/>
      </c>
      <c r="N223" s="167" t="str">
        <f t="shared" si="26"/>
        <v/>
      </c>
    </row>
    <row r="224" spans="1:14" ht="18" x14ac:dyDescent="0.35">
      <c r="A224" t="str">
        <f>IFERROR(B224&amp;" "&amp;COUNTIFS($B$4:B224,B224),"")</f>
        <v xml:space="preserve"> 0</v>
      </c>
      <c r="B224" s="169"/>
      <c r="C224" s="162"/>
      <c r="D224" s="162"/>
      <c r="E224" s="162"/>
      <c r="F224" s="163" t="str">
        <f t="shared" si="27"/>
        <v/>
      </c>
      <c r="G224" s="162"/>
      <c r="H224" s="162"/>
      <c r="I224" s="162"/>
      <c r="J224" s="164" t="str">
        <f t="shared" si="23"/>
        <v/>
      </c>
      <c r="K224" s="165" t="str">
        <f t="shared" si="24"/>
        <v/>
      </c>
      <c r="L224" s="165" t="str">
        <f t="shared" si="28"/>
        <v/>
      </c>
      <c r="M224" s="166" t="str">
        <f t="shared" si="25"/>
        <v/>
      </c>
      <c r="N224" s="167" t="str">
        <f t="shared" si="26"/>
        <v/>
      </c>
    </row>
    <row r="225" spans="1:14" ht="18" x14ac:dyDescent="0.35">
      <c r="A225" t="str">
        <f>IFERROR(B225&amp;" "&amp;COUNTIFS($B$4:B225,B225),"")</f>
        <v xml:space="preserve"> 0</v>
      </c>
      <c r="B225" s="169"/>
      <c r="C225" s="162"/>
      <c r="D225" s="162"/>
      <c r="E225" s="162"/>
      <c r="F225" s="163" t="str">
        <f t="shared" si="27"/>
        <v/>
      </c>
      <c r="G225" s="162"/>
      <c r="H225" s="162"/>
      <c r="I225" s="162"/>
      <c r="J225" s="164" t="str">
        <f t="shared" si="23"/>
        <v/>
      </c>
      <c r="K225" s="165" t="str">
        <f t="shared" si="24"/>
        <v/>
      </c>
      <c r="L225" s="165" t="str">
        <f t="shared" si="28"/>
        <v/>
      </c>
      <c r="M225" s="166" t="str">
        <f t="shared" si="25"/>
        <v/>
      </c>
      <c r="N225" s="167" t="str">
        <f t="shared" si="26"/>
        <v/>
      </c>
    </row>
    <row r="226" spans="1:14" ht="18" x14ac:dyDescent="0.35">
      <c r="A226" t="str">
        <f>IFERROR(B226&amp;" "&amp;COUNTIFS($B$4:B226,B226),"")</f>
        <v xml:space="preserve"> 0</v>
      </c>
      <c r="B226" s="169"/>
      <c r="C226" s="162"/>
      <c r="D226" s="162"/>
      <c r="E226" s="162"/>
      <c r="F226" s="163" t="str">
        <f t="shared" si="27"/>
        <v/>
      </c>
      <c r="G226" s="162"/>
      <c r="H226" s="162"/>
      <c r="I226" s="162"/>
      <c r="J226" s="164" t="str">
        <f t="shared" si="23"/>
        <v/>
      </c>
      <c r="K226" s="165" t="str">
        <f t="shared" si="24"/>
        <v/>
      </c>
      <c r="L226" s="165" t="str">
        <f t="shared" si="28"/>
        <v/>
      </c>
      <c r="M226" s="166" t="str">
        <f t="shared" si="25"/>
        <v/>
      </c>
      <c r="N226" s="167" t="str">
        <f t="shared" si="26"/>
        <v/>
      </c>
    </row>
    <row r="227" spans="1:14" ht="18" x14ac:dyDescent="0.35">
      <c r="A227" t="str">
        <f>IFERROR(B227&amp;" "&amp;COUNTIFS($B$4:B227,B227),"")</f>
        <v xml:space="preserve"> 0</v>
      </c>
      <c r="B227" s="169"/>
      <c r="C227" s="162"/>
      <c r="D227" s="162"/>
      <c r="E227" s="162"/>
      <c r="F227" s="163" t="str">
        <f t="shared" si="27"/>
        <v/>
      </c>
      <c r="G227" s="162"/>
      <c r="H227" s="162"/>
      <c r="I227" s="162"/>
      <c r="J227" s="164" t="str">
        <f t="shared" si="23"/>
        <v/>
      </c>
      <c r="K227" s="165" t="str">
        <f t="shared" si="24"/>
        <v/>
      </c>
      <c r="L227" s="165" t="str">
        <f t="shared" si="28"/>
        <v/>
      </c>
      <c r="M227" s="166" t="str">
        <f t="shared" si="25"/>
        <v/>
      </c>
      <c r="N227" s="167" t="str">
        <f t="shared" si="26"/>
        <v/>
      </c>
    </row>
    <row r="228" spans="1:14" ht="18" x14ac:dyDescent="0.35">
      <c r="A228" t="str">
        <f>IFERROR(B228&amp;" "&amp;COUNTIFS($B$4:B228,B228),"")</f>
        <v xml:space="preserve"> 0</v>
      </c>
      <c r="B228" s="169"/>
      <c r="C228" s="162"/>
      <c r="D228" s="162"/>
      <c r="E228" s="162"/>
      <c r="F228" s="163" t="str">
        <f t="shared" si="27"/>
        <v/>
      </c>
      <c r="G228" s="162"/>
      <c r="H228" s="162"/>
      <c r="I228" s="162"/>
      <c r="J228" s="164" t="str">
        <f t="shared" si="23"/>
        <v/>
      </c>
      <c r="K228" s="165" t="str">
        <f t="shared" si="24"/>
        <v/>
      </c>
      <c r="L228" s="165" t="str">
        <f t="shared" si="28"/>
        <v/>
      </c>
      <c r="M228" s="166" t="str">
        <f t="shared" si="25"/>
        <v/>
      </c>
      <c r="N228" s="167" t="str">
        <f t="shared" si="26"/>
        <v/>
      </c>
    </row>
    <row r="229" spans="1:14" ht="18" x14ac:dyDescent="0.35">
      <c r="A229" t="str">
        <f>IFERROR(B229&amp;" "&amp;COUNTIFS($B$4:B229,B229),"")</f>
        <v xml:space="preserve"> 0</v>
      </c>
      <c r="B229" s="169"/>
      <c r="C229" s="162"/>
      <c r="D229" s="162"/>
      <c r="E229" s="162"/>
      <c r="F229" s="163" t="str">
        <f t="shared" si="27"/>
        <v/>
      </c>
      <c r="G229" s="162"/>
      <c r="H229" s="162"/>
      <c r="I229" s="162"/>
      <c r="J229" s="164" t="str">
        <f t="shared" si="23"/>
        <v/>
      </c>
      <c r="K229" s="165" t="str">
        <f t="shared" si="24"/>
        <v/>
      </c>
      <c r="L229" s="165" t="str">
        <f t="shared" si="28"/>
        <v/>
      </c>
      <c r="M229" s="166" t="str">
        <f t="shared" si="25"/>
        <v/>
      </c>
      <c r="N229" s="167" t="str">
        <f t="shared" si="26"/>
        <v/>
      </c>
    </row>
    <row r="230" spans="1:14" ht="18" x14ac:dyDescent="0.35">
      <c r="A230" t="str">
        <f>IFERROR(B230&amp;" "&amp;COUNTIFS($B$4:B230,B230),"")</f>
        <v xml:space="preserve"> 0</v>
      </c>
      <c r="B230" s="169"/>
      <c r="C230" s="162"/>
      <c r="D230" s="162"/>
      <c r="E230" s="162"/>
      <c r="F230" s="163" t="str">
        <f t="shared" si="27"/>
        <v/>
      </c>
      <c r="G230" s="162"/>
      <c r="H230" s="162"/>
      <c r="I230" s="162"/>
      <c r="J230" s="164" t="str">
        <f t="shared" si="23"/>
        <v/>
      </c>
      <c r="K230" s="165" t="str">
        <f t="shared" si="24"/>
        <v/>
      </c>
      <c r="L230" s="165" t="str">
        <f t="shared" si="28"/>
        <v/>
      </c>
      <c r="M230" s="166" t="str">
        <f t="shared" si="25"/>
        <v/>
      </c>
      <c r="N230" s="167" t="str">
        <f t="shared" si="26"/>
        <v/>
      </c>
    </row>
    <row r="231" spans="1:14" ht="18" x14ac:dyDescent="0.35">
      <c r="A231" t="str">
        <f>IFERROR(B231&amp;" "&amp;COUNTIFS($B$4:B231,B231),"")</f>
        <v xml:space="preserve"> 0</v>
      </c>
      <c r="B231" s="169"/>
      <c r="C231" s="162"/>
      <c r="D231" s="162"/>
      <c r="E231" s="162"/>
      <c r="F231" s="163" t="str">
        <f t="shared" si="27"/>
        <v/>
      </c>
      <c r="G231" s="162"/>
      <c r="H231" s="162"/>
      <c r="I231" s="162"/>
      <c r="J231" s="164" t="str">
        <f t="shared" si="23"/>
        <v/>
      </c>
      <c r="K231" s="165" t="str">
        <f t="shared" si="24"/>
        <v/>
      </c>
      <c r="L231" s="165" t="str">
        <f t="shared" si="28"/>
        <v/>
      </c>
      <c r="M231" s="166" t="str">
        <f t="shared" si="25"/>
        <v/>
      </c>
      <c r="N231" s="167" t="str">
        <f t="shared" si="26"/>
        <v/>
      </c>
    </row>
    <row r="232" spans="1:14" ht="18" x14ac:dyDescent="0.35">
      <c r="A232" t="str">
        <f>IFERROR(B232&amp;" "&amp;COUNTIFS($B$4:B232,B232),"")</f>
        <v xml:space="preserve"> 0</v>
      </c>
      <c r="B232" s="169"/>
      <c r="C232" s="162"/>
      <c r="D232" s="162"/>
      <c r="E232" s="162"/>
      <c r="F232" s="163" t="str">
        <f t="shared" si="27"/>
        <v/>
      </c>
      <c r="G232" s="162"/>
      <c r="H232" s="162"/>
      <c r="I232" s="162"/>
      <c r="J232" s="164" t="str">
        <f t="shared" si="23"/>
        <v/>
      </c>
      <c r="K232" s="165" t="str">
        <f t="shared" si="24"/>
        <v/>
      </c>
      <c r="L232" s="165" t="str">
        <f t="shared" si="28"/>
        <v/>
      </c>
      <c r="M232" s="166" t="str">
        <f t="shared" si="25"/>
        <v/>
      </c>
      <c r="N232" s="167" t="str">
        <f t="shared" si="26"/>
        <v/>
      </c>
    </row>
    <row r="233" spans="1:14" ht="18" x14ac:dyDescent="0.35">
      <c r="A233" t="str">
        <f>IFERROR(B233&amp;" "&amp;COUNTIFS($B$4:B233,B233),"")</f>
        <v xml:space="preserve"> 0</v>
      </c>
      <c r="B233" s="169"/>
      <c r="C233" s="162"/>
      <c r="D233" s="162"/>
      <c r="E233" s="162"/>
      <c r="F233" s="163" t="str">
        <f t="shared" si="27"/>
        <v/>
      </c>
      <c r="G233" s="162"/>
      <c r="H233" s="162"/>
      <c r="I233" s="162"/>
      <c r="J233" s="164" t="str">
        <f t="shared" si="23"/>
        <v/>
      </c>
      <c r="K233" s="165" t="str">
        <f t="shared" si="24"/>
        <v/>
      </c>
      <c r="L233" s="165" t="str">
        <f t="shared" si="28"/>
        <v/>
      </c>
      <c r="M233" s="166" t="str">
        <f t="shared" si="25"/>
        <v/>
      </c>
      <c r="N233" s="167" t="str">
        <f t="shared" si="26"/>
        <v/>
      </c>
    </row>
    <row r="234" spans="1:14" ht="18" x14ac:dyDescent="0.35">
      <c r="A234" t="str">
        <f>IFERROR(B234&amp;" "&amp;COUNTIFS($B$4:B234,B234),"")</f>
        <v xml:space="preserve"> 0</v>
      </c>
      <c r="B234" s="169"/>
      <c r="C234" s="162"/>
      <c r="D234" s="162"/>
      <c r="E234" s="162"/>
      <c r="F234" s="163" t="str">
        <f t="shared" si="27"/>
        <v/>
      </c>
      <c r="G234" s="162"/>
      <c r="H234" s="162"/>
      <c r="I234" s="162"/>
      <c r="J234" s="164" t="str">
        <f t="shared" si="23"/>
        <v/>
      </c>
      <c r="K234" s="165" t="str">
        <f t="shared" si="24"/>
        <v/>
      </c>
      <c r="L234" s="165" t="str">
        <f t="shared" si="28"/>
        <v/>
      </c>
      <c r="M234" s="166" t="str">
        <f t="shared" si="25"/>
        <v/>
      </c>
      <c r="N234" s="167" t="str">
        <f t="shared" si="26"/>
        <v/>
      </c>
    </row>
    <row r="235" spans="1:14" ht="18" x14ac:dyDescent="0.35">
      <c r="A235" t="str">
        <f>IFERROR(B235&amp;" "&amp;COUNTIFS($B$4:B235,B235),"")</f>
        <v xml:space="preserve"> 0</v>
      </c>
      <c r="B235" s="169"/>
      <c r="C235" s="162"/>
      <c r="D235" s="162"/>
      <c r="E235" s="162"/>
      <c r="F235" s="163" t="str">
        <f t="shared" si="27"/>
        <v/>
      </c>
      <c r="G235" s="162"/>
      <c r="H235" s="162"/>
      <c r="I235" s="162"/>
      <c r="J235" s="164" t="str">
        <f t="shared" si="23"/>
        <v/>
      </c>
      <c r="K235" s="165" t="str">
        <f t="shared" si="24"/>
        <v/>
      </c>
      <c r="L235" s="165" t="str">
        <f t="shared" si="28"/>
        <v/>
      </c>
      <c r="M235" s="166" t="str">
        <f t="shared" si="25"/>
        <v/>
      </c>
      <c r="N235" s="167" t="str">
        <f t="shared" si="26"/>
        <v/>
      </c>
    </row>
    <row r="236" spans="1:14" ht="18" x14ac:dyDescent="0.35">
      <c r="A236" t="str">
        <f>IFERROR(B236&amp;" "&amp;COUNTIFS($B$4:B236,B236),"")</f>
        <v xml:space="preserve"> 0</v>
      </c>
      <c r="B236" s="169"/>
      <c r="C236" s="162"/>
      <c r="D236" s="162"/>
      <c r="E236" s="162"/>
      <c r="F236" s="163" t="str">
        <f t="shared" si="27"/>
        <v/>
      </c>
      <c r="G236" s="162"/>
      <c r="H236" s="162"/>
      <c r="I236" s="162"/>
      <c r="J236" s="164" t="str">
        <f t="shared" si="23"/>
        <v/>
      </c>
      <c r="K236" s="165" t="str">
        <f t="shared" si="24"/>
        <v/>
      </c>
      <c r="L236" s="165" t="str">
        <f t="shared" si="28"/>
        <v/>
      </c>
      <c r="M236" s="166" t="str">
        <f t="shared" si="25"/>
        <v/>
      </c>
      <c r="N236" s="167" t="str">
        <f t="shared" si="26"/>
        <v/>
      </c>
    </row>
    <row r="237" spans="1:14" ht="18" x14ac:dyDescent="0.35">
      <c r="A237" t="str">
        <f>IFERROR(B237&amp;" "&amp;COUNTIFS($B$4:B237,B237),"")</f>
        <v xml:space="preserve"> 0</v>
      </c>
      <c r="B237" s="169"/>
      <c r="C237" s="162"/>
      <c r="D237" s="162"/>
      <c r="E237" s="162"/>
      <c r="F237" s="163" t="str">
        <f t="shared" si="27"/>
        <v/>
      </c>
      <c r="G237" s="162"/>
      <c r="H237" s="162"/>
      <c r="I237" s="162"/>
      <c r="J237" s="164" t="str">
        <f t="shared" si="23"/>
        <v/>
      </c>
      <c r="K237" s="165" t="str">
        <f t="shared" si="24"/>
        <v/>
      </c>
      <c r="L237" s="165" t="str">
        <f t="shared" si="28"/>
        <v/>
      </c>
      <c r="M237" s="166" t="str">
        <f t="shared" si="25"/>
        <v/>
      </c>
      <c r="N237" s="167" t="str">
        <f t="shared" si="26"/>
        <v/>
      </c>
    </row>
    <row r="238" spans="1:14" ht="18" x14ac:dyDescent="0.35">
      <c r="A238" t="str">
        <f>IFERROR(B238&amp;" "&amp;COUNTIFS($B$4:B238,B238),"")</f>
        <v xml:space="preserve"> 0</v>
      </c>
      <c r="B238" s="169"/>
      <c r="C238" s="162"/>
      <c r="D238" s="162"/>
      <c r="E238" s="162"/>
      <c r="F238" s="163" t="str">
        <f t="shared" si="27"/>
        <v/>
      </c>
      <c r="G238" s="162"/>
      <c r="H238" s="162"/>
      <c r="I238" s="162"/>
      <c r="J238" s="164" t="str">
        <f t="shared" si="23"/>
        <v/>
      </c>
      <c r="K238" s="165" t="str">
        <f t="shared" si="24"/>
        <v/>
      </c>
      <c r="L238" s="165" t="str">
        <f t="shared" si="28"/>
        <v/>
      </c>
      <c r="M238" s="166" t="str">
        <f t="shared" si="25"/>
        <v/>
      </c>
      <c r="N238" s="167" t="str">
        <f t="shared" si="26"/>
        <v/>
      </c>
    </row>
    <row r="239" spans="1:14" ht="18" x14ac:dyDescent="0.35">
      <c r="A239" t="str">
        <f>IFERROR(B239&amp;" "&amp;COUNTIFS($B$4:B239,B239),"")</f>
        <v xml:space="preserve"> 0</v>
      </c>
      <c r="B239" s="169"/>
      <c r="C239" s="162"/>
      <c r="D239" s="162"/>
      <c r="E239" s="162"/>
      <c r="F239" s="163" t="str">
        <f t="shared" si="27"/>
        <v/>
      </c>
      <c r="G239" s="162"/>
      <c r="H239" s="162"/>
      <c r="I239" s="162"/>
      <c r="J239" s="164" t="str">
        <f t="shared" si="23"/>
        <v/>
      </c>
      <c r="K239" s="165" t="str">
        <f t="shared" si="24"/>
        <v/>
      </c>
      <c r="L239" s="165" t="str">
        <f t="shared" si="28"/>
        <v/>
      </c>
      <c r="M239" s="166" t="str">
        <f t="shared" si="25"/>
        <v/>
      </c>
      <c r="N239" s="167" t="str">
        <f t="shared" si="26"/>
        <v/>
      </c>
    </row>
    <row r="240" spans="1:14" ht="18" x14ac:dyDescent="0.35">
      <c r="A240" t="str">
        <f>IFERROR(B240&amp;" "&amp;COUNTIFS($B$4:B240,B240),"")</f>
        <v xml:space="preserve"> 0</v>
      </c>
      <c r="B240" s="169"/>
      <c r="C240" s="162"/>
      <c r="D240" s="162"/>
      <c r="E240" s="162"/>
      <c r="F240" s="163" t="str">
        <f t="shared" si="27"/>
        <v/>
      </c>
      <c r="G240" s="162"/>
      <c r="H240" s="162"/>
      <c r="I240" s="162"/>
      <c r="J240" s="164" t="str">
        <f t="shared" si="23"/>
        <v/>
      </c>
      <c r="K240" s="165" t="str">
        <f t="shared" si="24"/>
        <v/>
      </c>
      <c r="L240" s="165" t="str">
        <f t="shared" si="28"/>
        <v/>
      </c>
      <c r="M240" s="166" t="str">
        <f t="shared" si="25"/>
        <v/>
      </c>
      <c r="N240" s="167" t="str">
        <f t="shared" si="26"/>
        <v/>
      </c>
    </row>
    <row r="241" spans="1:14" ht="18" x14ac:dyDescent="0.35">
      <c r="A241" t="str">
        <f>IFERROR(B241&amp;" "&amp;COUNTIFS($B$4:B241,B241),"")</f>
        <v xml:space="preserve"> 0</v>
      </c>
      <c r="B241" s="169"/>
      <c r="C241" s="162"/>
      <c r="D241" s="162"/>
      <c r="E241" s="162"/>
      <c r="F241" s="163" t="str">
        <f t="shared" si="27"/>
        <v/>
      </c>
      <c r="G241" s="162"/>
      <c r="H241" s="162"/>
      <c r="I241" s="162"/>
      <c r="J241" s="164" t="str">
        <f t="shared" si="23"/>
        <v/>
      </c>
      <c r="K241" s="165" t="str">
        <f t="shared" si="24"/>
        <v/>
      </c>
      <c r="L241" s="165" t="str">
        <f t="shared" si="28"/>
        <v/>
      </c>
      <c r="M241" s="166" t="str">
        <f t="shared" si="25"/>
        <v/>
      </c>
      <c r="N241" s="167" t="str">
        <f t="shared" si="26"/>
        <v/>
      </c>
    </row>
    <row r="242" spans="1:14" ht="18" x14ac:dyDescent="0.35">
      <c r="A242" t="str">
        <f>IFERROR(B242&amp;" "&amp;COUNTIFS($B$4:B242,B242),"")</f>
        <v xml:space="preserve"> 0</v>
      </c>
      <c r="B242" s="169"/>
      <c r="C242" s="162"/>
      <c r="D242" s="162"/>
      <c r="E242" s="162"/>
      <c r="F242" s="163" t="str">
        <f t="shared" si="27"/>
        <v/>
      </c>
      <c r="G242" s="162"/>
      <c r="H242" s="162"/>
      <c r="I242" s="162"/>
      <c r="J242" s="164" t="str">
        <f t="shared" si="23"/>
        <v/>
      </c>
      <c r="K242" s="165" t="str">
        <f t="shared" si="24"/>
        <v/>
      </c>
      <c r="L242" s="165" t="str">
        <f t="shared" si="28"/>
        <v/>
      </c>
      <c r="M242" s="166" t="str">
        <f t="shared" si="25"/>
        <v/>
      </c>
      <c r="N242" s="167" t="str">
        <f t="shared" si="26"/>
        <v/>
      </c>
    </row>
    <row r="243" spans="1:14" ht="18" x14ac:dyDescent="0.35">
      <c r="A243" t="str">
        <f>IFERROR(B243&amp;" "&amp;COUNTIFS($B$4:B243,B243),"")</f>
        <v xml:space="preserve"> 0</v>
      </c>
      <c r="B243" s="169"/>
      <c r="C243" s="162"/>
      <c r="D243" s="162"/>
      <c r="E243" s="162"/>
      <c r="F243" s="163" t="str">
        <f t="shared" si="27"/>
        <v/>
      </c>
      <c r="G243" s="162"/>
      <c r="H243" s="162"/>
      <c r="I243" s="162"/>
      <c r="J243" s="164" t="str">
        <f t="shared" si="23"/>
        <v/>
      </c>
      <c r="K243" s="165" t="str">
        <f t="shared" si="24"/>
        <v/>
      </c>
      <c r="L243" s="165" t="str">
        <f t="shared" si="28"/>
        <v/>
      </c>
      <c r="M243" s="166" t="str">
        <f t="shared" si="25"/>
        <v/>
      </c>
      <c r="N243" s="167" t="str">
        <f t="shared" si="26"/>
        <v/>
      </c>
    </row>
    <row r="244" spans="1:14" ht="18" x14ac:dyDescent="0.35">
      <c r="A244" t="str">
        <f>IFERROR(B244&amp;" "&amp;COUNTIFS($B$4:B244,B244),"")</f>
        <v xml:space="preserve"> 0</v>
      </c>
      <c r="B244" s="169"/>
      <c r="C244" s="162"/>
      <c r="D244" s="162"/>
      <c r="E244" s="162"/>
      <c r="F244" s="163" t="str">
        <f t="shared" si="27"/>
        <v/>
      </c>
      <c r="G244" s="162"/>
      <c r="H244" s="162"/>
      <c r="I244" s="162"/>
      <c r="J244" s="164" t="str">
        <f t="shared" si="23"/>
        <v/>
      </c>
      <c r="K244" s="165" t="str">
        <f t="shared" si="24"/>
        <v/>
      </c>
      <c r="L244" s="165" t="str">
        <f t="shared" si="28"/>
        <v/>
      </c>
      <c r="M244" s="166" t="str">
        <f t="shared" si="25"/>
        <v/>
      </c>
      <c r="N244" s="167" t="str">
        <f t="shared" si="26"/>
        <v/>
      </c>
    </row>
    <row r="245" spans="1:14" ht="18" x14ac:dyDescent="0.35">
      <c r="A245" t="str">
        <f>IFERROR(B245&amp;" "&amp;COUNTIFS($B$4:B245,B245),"")</f>
        <v xml:space="preserve"> 0</v>
      </c>
      <c r="B245" s="169"/>
      <c r="C245" s="162"/>
      <c r="D245" s="162"/>
      <c r="E245" s="162"/>
      <c r="F245" s="163" t="str">
        <f t="shared" si="27"/>
        <v/>
      </c>
      <c r="G245" s="162"/>
      <c r="H245" s="162"/>
      <c r="I245" s="162"/>
      <c r="J245" s="164" t="str">
        <f t="shared" si="23"/>
        <v/>
      </c>
      <c r="K245" s="165" t="str">
        <f t="shared" si="24"/>
        <v/>
      </c>
      <c r="L245" s="165" t="str">
        <f t="shared" si="28"/>
        <v/>
      </c>
      <c r="M245" s="166" t="str">
        <f t="shared" si="25"/>
        <v/>
      </c>
      <c r="N245" s="167" t="str">
        <f t="shared" si="26"/>
        <v/>
      </c>
    </row>
    <row r="246" spans="1:14" ht="18" x14ac:dyDescent="0.35">
      <c r="A246" t="str">
        <f>IFERROR(B246&amp;" "&amp;COUNTIFS($B$4:B246,B246),"")</f>
        <v xml:space="preserve"> 0</v>
      </c>
      <c r="B246" s="169"/>
      <c r="C246" s="162"/>
      <c r="D246" s="162"/>
      <c r="E246" s="162"/>
      <c r="F246" s="163" t="str">
        <f t="shared" si="27"/>
        <v/>
      </c>
      <c r="G246" s="162"/>
      <c r="H246" s="162"/>
      <c r="I246" s="162"/>
      <c r="J246" s="164" t="str">
        <f t="shared" si="23"/>
        <v/>
      </c>
      <c r="K246" s="165" t="str">
        <f t="shared" si="24"/>
        <v/>
      </c>
      <c r="L246" s="165" t="str">
        <f t="shared" si="28"/>
        <v/>
      </c>
      <c r="M246" s="166" t="str">
        <f t="shared" si="25"/>
        <v/>
      </c>
      <c r="N246" s="167" t="str">
        <f t="shared" si="26"/>
        <v/>
      </c>
    </row>
    <row r="247" spans="1:14" ht="18" x14ac:dyDescent="0.35">
      <c r="A247" t="str">
        <f>IFERROR(B247&amp;" "&amp;COUNTIFS($B$4:B247,B247),"")</f>
        <v xml:space="preserve"> 0</v>
      </c>
      <c r="B247" s="169"/>
      <c r="C247" s="162"/>
      <c r="D247" s="162"/>
      <c r="E247" s="162"/>
      <c r="F247" s="163" t="str">
        <f t="shared" si="27"/>
        <v/>
      </c>
      <c r="G247" s="162"/>
      <c r="H247" s="162"/>
      <c r="I247" s="162"/>
      <c r="J247" s="164" t="str">
        <f t="shared" si="23"/>
        <v/>
      </c>
      <c r="K247" s="165" t="str">
        <f t="shared" si="24"/>
        <v/>
      </c>
      <c r="L247" s="165" t="str">
        <f t="shared" si="28"/>
        <v/>
      </c>
      <c r="M247" s="166" t="str">
        <f t="shared" si="25"/>
        <v/>
      </c>
      <c r="N247" s="167" t="str">
        <f t="shared" si="26"/>
        <v/>
      </c>
    </row>
    <row r="248" spans="1:14" ht="18" x14ac:dyDescent="0.35">
      <c r="A248" t="str">
        <f>IFERROR(B248&amp;" "&amp;COUNTIFS($B$4:B248,B248),"")</f>
        <v xml:space="preserve"> 0</v>
      </c>
      <c r="B248" s="169"/>
      <c r="C248" s="162"/>
      <c r="D248" s="162"/>
      <c r="E248" s="162"/>
      <c r="F248" s="163" t="str">
        <f t="shared" si="27"/>
        <v/>
      </c>
      <c r="G248" s="162"/>
      <c r="H248" s="162"/>
      <c r="I248" s="162"/>
      <c r="J248" s="164" t="str">
        <f t="shared" si="23"/>
        <v/>
      </c>
      <c r="K248" s="165" t="str">
        <f t="shared" si="24"/>
        <v/>
      </c>
      <c r="L248" s="165" t="str">
        <f t="shared" si="28"/>
        <v/>
      </c>
      <c r="M248" s="166" t="str">
        <f t="shared" si="25"/>
        <v/>
      </c>
      <c r="N248" s="167" t="str">
        <f t="shared" si="26"/>
        <v/>
      </c>
    </row>
    <row r="249" spans="1:14" ht="18" x14ac:dyDescent="0.35">
      <c r="A249" t="str">
        <f>IFERROR(B249&amp;" "&amp;COUNTIFS($B$4:B249,B249),"")</f>
        <v xml:space="preserve"> 0</v>
      </c>
      <c r="B249" s="169"/>
      <c r="C249" s="162"/>
      <c r="D249" s="162"/>
      <c r="E249" s="162"/>
      <c r="F249" s="163" t="str">
        <f t="shared" si="27"/>
        <v/>
      </c>
      <c r="G249" s="162"/>
      <c r="H249" s="162"/>
      <c r="I249" s="162"/>
      <c r="J249" s="164" t="str">
        <f t="shared" si="23"/>
        <v/>
      </c>
      <c r="K249" s="165" t="str">
        <f t="shared" si="24"/>
        <v/>
      </c>
      <c r="L249" s="165" t="str">
        <f t="shared" si="28"/>
        <v/>
      </c>
      <c r="M249" s="166" t="str">
        <f t="shared" si="25"/>
        <v/>
      </c>
      <c r="N249" s="167" t="str">
        <f t="shared" si="26"/>
        <v/>
      </c>
    </row>
    <row r="250" spans="1:14" ht="18" x14ac:dyDescent="0.35">
      <c r="A250" t="str">
        <f>IFERROR(B250&amp;" "&amp;COUNTIFS($B$4:B250,B250),"")</f>
        <v xml:space="preserve"> 0</v>
      </c>
      <c r="B250" s="169"/>
      <c r="C250" s="162"/>
      <c r="D250" s="162"/>
      <c r="E250" s="162"/>
      <c r="F250" s="163" t="str">
        <f t="shared" si="27"/>
        <v/>
      </c>
      <c r="G250" s="162"/>
      <c r="H250" s="162"/>
      <c r="I250" s="162"/>
      <c r="J250" s="164" t="str">
        <f t="shared" si="23"/>
        <v/>
      </c>
      <c r="K250" s="165" t="str">
        <f t="shared" si="24"/>
        <v/>
      </c>
      <c r="L250" s="165" t="str">
        <f t="shared" si="28"/>
        <v/>
      </c>
      <c r="M250" s="166" t="str">
        <f t="shared" si="25"/>
        <v/>
      </c>
      <c r="N250" s="167" t="str">
        <f t="shared" si="26"/>
        <v/>
      </c>
    </row>
    <row r="251" spans="1:14" ht="18" x14ac:dyDescent="0.35">
      <c r="A251" t="str">
        <f>IFERROR(B251&amp;" "&amp;COUNTIFS($B$4:B251,B251),"")</f>
        <v xml:space="preserve"> 0</v>
      </c>
      <c r="B251" s="169"/>
      <c r="C251" s="162"/>
      <c r="D251" s="162"/>
      <c r="E251" s="162"/>
      <c r="F251" s="163" t="str">
        <f t="shared" si="27"/>
        <v/>
      </c>
      <c r="G251" s="162"/>
      <c r="H251" s="162"/>
      <c r="I251" s="162"/>
      <c r="J251" s="164" t="str">
        <f t="shared" ref="J251:J314" si="29">IFERROR(VLOOKUP(B251,data_kas3,12,FALSE),"")</f>
        <v/>
      </c>
      <c r="K251" s="165" t="str">
        <f t="shared" ref="K251:K314" si="30">IFERROR(VLOOKUP(B251,data_kas3,3,FALSE),"")</f>
        <v/>
      </c>
      <c r="L251" s="165" t="str">
        <f t="shared" si="28"/>
        <v/>
      </c>
      <c r="M251" s="166" t="str">
        <f t="shared" ref="M251:M314" si="31">IFERROR(VLOOKUP(B251,data_kas3,5,FALSE),"")</f>
        <v/>
      </c>
      <c r="N251" s="167" t="str">
        <f t="shared" si="26"/>
        <v/>
      </c>
    </row>
    <row r="252" spans="1:14" ht="18" x14ac:dyDescent="0.35">
      <c r="A252" t="str">
        <f>IFERROR(B252&amp;" "&amp;COUNTIFS($B$4:B252,B252),"")</f>
        <v xml:space="preserve"> 0</v>
      </c>
      <c r="B252" s="169"/>
      <c r="C252" s="162"/>
      <c r="D252" s="162"/>
      <c r="E252" s="162"/>
      <c r="F252" s="163" t="str">
        <f t="shared" si="27"/>
        <v/>
      </c>
      <c r="G252" s="162"/>
      <c r="H252" s="162"/>
      <c r="I252" s="162"/>
      <c r="J252" s="164" t="str">
        <f t="shared" si="29"/>
        <v/>
      </c>
      <c r="K252" s="165" t="str">
        <f t="shared" si="30"/>
        <v/>
      </c>
      <c r="L252" s="165" t="str">
        <f t="shared" si="28"/>
        <v/>
      </c>
      <c r="M252" s="166" t="str">
        <f t="shared" si="31"/>
        <v/>
      </c>
      <c r="N252" s="167" t="str">
        <f t="shared" ref="N252:N315" si="32">IF(K252="","",K252*M252)</f>
        <v/>
      </c>
    </row>
    <row r="253" spans="1:14" ht="18" x14ac:dyDescent="0.35">
      <c r="A253" t="str">
        <f>IFERROR(B253&amp;" "&amp;COUNTIFS($B$4:B253,B253),"")</f>
        <v xml:space="preserve"> 0</v>
      </c>
      <c r="B253" s="169"/>
      <c r="C253" s="162"/>
      <c r="D253" s="162"/>
      <c r="E253" s="162"/>
      <c r="F253" s="163" t="str">
        <f t="shared" si="27"/>
        <v/>
      </c>
      <c r="G253" s="162"/>
      <c r="H253" s="162"/>
      <c r="I253" s="162"/>
      <c r="J253" s="164" t="str">
        <f t="shared" si="29"/>
        <v/>
      </c>
      <c r="K253" s="165" t="str">
        <f t="shared" si="30"/>
        <v/>
      </c>
      <c r="L253" s="165" t="str">
        <f t="shared" si="28"/>
        <v/>
      </c>
      <c r="M253" s="166" t="str">
        <f t="shared" si="31"/>
        <v/>
      </c>
      <c r="N253" s="167" t="str">
        <f t="shared" si="32"/>
        <v/>
      </c>
    </row>
    <row r="254" spans="1:14" ht="18" x14ac:dyDescent="0.35">
      <c r="A254" t="str">
        <f>IFERROR(B254&amp;" "&amp;COUNTIFS($B$4:B254,B254),"")</f>
        <v xml:space="preserve"> 0</v>
      </c>
      <c r="B254" s="169"/>
      <c r="C254" s="162"/>
      <c r="D254" s="162"/>
      <c r="E254" s="162"/>
      <c r="F254" s="163" t="str">
        <f t="shared" si="27"/>
        <v/>
      </c>
      <c r="G254" s="162"/>
      <c r="H254" s="162"/>
      <c r="I254" s="162"/>
      <c r="J254" s="164" t="str">
        <f t="shared" si="29"/>
        <v/>
      </c>
      <c r="K254" s="165" t="str">
        <f t="shared" si="30"/>
        <v/>
      </c>
      <c r="L254" s="165" t="str">
        <f t="shared" si="28"/>
        <v/>
      </c>
      <c r="M254" s="166" t="str">
        <f t="shared" si="31"/>
        <v/>
      </c>
      <c r="N254" s="167" t="str">
        <f t="shared" si="32"/>
        <v/>
      </c>
    </row>
    <row r="255" spans="1:14" ht="18" x14ac:dyDescent="0.35">
      <c r="A255" t="str">
        <f>IFERROR(B255&amp;" "&amp;COUNTIFS($B$4:B255,B255),"")</f>
        <v xml:space="preserve"> 0</v>
      </c>
      <c r="B255" s="169"/>
      <c r="C255" s="162"/>
      <c r="D255" s="162"/>
      <c r="E255" s="162"/>
      <c r="F255" s="163" t="str">
        <f t="shared" si="27"/>
        <v/>
      </c>
      <c r="G255" s="162"/>
      <c r="H255" s="162"/>
      <c r="I255" s="162"/>
      <c r="J255" s="164" t="str">
        <f t="shared" si="29"/>
        <v/>
      </c>
      <c r="K255" s="165" t="str">
        <f t="shared" si="30"/>
        <v/>
      </c>
      <c r="L255" s="165" t="str">
        <f t="shared" si="28"/>
        <v/>
      </c>
      <c r="M255" s="166" t="str">
        <f t="shared" si="31"/>
        <v/>
      </c>
      <c r="N255" s="167" t="str">
        <f t="shared" si="32"/>
        <v/>
      </c>
    </row>
    <row r="256" spans="1:14" ht="18" x14ac:dyDescent="0.35">
      <c r="A256" t="str">
        <f>IFERROR(B256&amp;" "&amp;COUNTIFS($B$4:B256,B256),"")</f>
        <v xml:space="preserve"> 0</v>
      </c>
      <c r="B256" s="169"/>
      <c r="C256" s="162"/>
      <c r="D256" s="162"/>
      <c r="E256" s="162"/>
      <c r="F256" s="163" t="str">
        <f t="shared" si="27"/>
        <v/>
      </c>
      <c r="G256" s="162"/>
      <c r="H256" s="162"/>
      <c r="I256" s="162"/>
      <c r="J256" s="164" t="str">
        <f t="shared" si="29"/>
        <v/>
      </c>
      <c r="K256" s="165" t="str">
        <f t="shared" si="30"/>
        <v/>
      </c>
      <c r="L256" s="165" t="str">
        <f t="shared" si="28"/>
        <v/>
      </c>
      <c r="M256" s="166" t="str">
        <f t="shared" si="31"/>
        <v/>
      </c>
      <c r="N256" s="167" t="str">
        <f t="shared" si="32"/>
        <v/>
      </c>
    </row>
    <row r="257" spans="1:14" ht="18" x14ac:dyDescent="0.35">
      <c r="A257" t="str">
        <f>IFERROR(B257&amp;" "&amp;COUNTIFS($B$4:B257,B257),"")</f>
        <v xml:space="preserve"> 0</v>
      </c>
      <c r="B257" s="169"/>
      <c r="C257" s="162"/>
      <c r="D257" s="162"/>
      <c r="E257" s="162"/>
      <c r="F257" s="163" t="str">
        <f t="shared" si="27"/>
        <v/>
      </c>
      <c r="G257" s="162"/>
      <c r="H257" s="162"/>
      <c r="I257" s="162"/>
      <c r="J257" s="164" t="str">
        <f t="shared" si="29"/>
        <v/>
      </c>
      <c r="K257" s="165" t="str">
        <f t="shared" si="30"/>
        <v/>
      </c>
      <c r="L257" s="165" t="str">
        <f t="shared" si="28"/>
        <v/>
      </c>
      <c r="M257" s="166" t="str">
        <f t="shared" si="31"/>
        <v/>
      </c>
      <c r="N257" s="167" t="str">
        <f t="shared" si="32"/>
        <v/>
      </c>
    </row>
    <row r="258" spans="1:14" ht="18" x14ac:dyDescent="0.35">
      <c r="A258" t="str">
        <f>IFERROR(B258&amp;" "&amp;COUNTIFS($B$4:B258,B258),"")</f>
        <v xml:space="preserve"> 0</v>
      </c>
      <c r="B258" s="169"/>
      <c r="C258" s="162"/>
      <c r="D258" s="162"/>
      <c r="E258" s="162"/>
      <c r="F258" s="163" t="str">
        <f t="shared" si="27"/>
        <v/>
      </c>
      <c r="G258" s="162"/>
      <c r="H258" s="162"/>
      <c r="I258" s="162"/>
      <c r="J258" s="164" t="str">
        <f t="shared" si="29"/>
        <v/>
      </c>
      <c r="K258" s="165" t="str">
        <f t="shared" si="30"/>
        <v/>
      </c>
      <c r="L258" s="165" t="str">
        <f t="shared" si="28"/>
        <v/>
      </c>
      <c r="M258" s="166" t="str">
        <f t="shared" si="31"/>
        <v/>
      </c>
      <c r="N258" s="167" t="str">
        <f t="shared" si="32"/>
        <v/>
      </c>
    </row>
    <row r="259" spans="1:14" ht="18" x14ac:dyDescent="0.35">
      <c r="A259" t="str">
        <f>IFERROR(B259&amp;" "&amp;COUNTIFS($B$4:B259,B259),"")</f>
        <v xml:space="preserve"> 0</v>
      </c>
      <c r="B259" s="169"/>
      <c r="C259" s="162"/>
      <c r="D259" s="162"/>
      <c r="E259" s="162"/>
      <c r="F259" s="163" t="str">
        <f t="shared" si="27"/>
        <v/>
      </c>
      <c r="G259" s="162"/>
      <c r="H259" s="162"/>
      <c r="I259" s="162"/>
      <c r="J259" s="164" t="str">
        <f t="shared" si="29"/>
        <v/>
      </c>
      <c r="K259" s="165" t="str">
        <f t="shared" si="30"/>
        <v/>
      </c>
      <c r="L259" s="165" t="str">
        <f t="shared" si="28"/>
        <v/>
      </c>
      <c r="M259" s="166" t="str">
        <f t="shared" si="31"/>
        <v/>
      </c>
      <c r="N259" s="167" t="str">
        <f t="shared" si="32"/>
        <v/>
      </c>
    </row>
    <row r="260" spans="1:14" ht="18" x14ac:dyDescent="0.35">
      <c r="A260" t="str">
        <f>IFERROR(B260&amp;" "&amp;COUNTIFS($B$4:B260,B260),"")</f>
        <v xml:space="preserve"> 0</v>
      </c>
      <c r="B260" s="169"/>
      <c r="C260" s="162"/>
      <c r="D260" s="162"/>
      <c r="E260" s="162"/>
      <c r="F260" s="163" t="str">
        <f t="shared" ref="F260:F323" si="33">IFERROR(VLOOKUP(E260,data_guru,3,FALSE),"")</f>
        <v/>
      </c>
      <c r="G260" s="162"/>
      <c r="H260" s="162"/>
      <c r="I260" s="162"/>
      <c r="J260" s="164" t="str">
        <f t="shared" si="29"/>
        <v/>
      </c>
      <c r="K260" s="165" t="str">
        <f t="shared" si="30"/>
        <v/>
      </c>
      <c r="L260" s="165" t="str">
        <f t="shared" ref="L260:L323" si="34">IFERROR(VLOOKUP(B260,data_kas3,4,FALSE),"")</f>
        <v/>
      </c>
      <c r="M260" s="166" t="str">
        <f t="shared" si="31"/>
        <v/>
      </c>
      <c r="N260" s="167" t="str">
        <f t="shared" si="32"/>
        <v/>
      </c>
    </row>
    <row r="261" spans="1:14" ht="18" x14ac:dyDescent="0.35">
      <c r="A261" t="str">
        <f>IFERROR(B261&amp;" "&amp;COUNTIFS($B$4:B261,B261),"")</f>
        <v xml:space="preserve"> 0</v>
      </c>
      <c r="B261" s="169"/>
      <c r="C261" s="162"/>
      <c r="D261" s="162"/>
      <c r="E261" s="162"/>
      <c r="F261" s="163" t="str">
        <f t="shared" si="33"/>
        <v/>
      </c>
      <c r="G261" s="162"/>
      <c r="H261" s="162"/>
      <c r="I261" s="162"/>
      <c r="J261" s="164" t="str">
        <f t="shared" si="29"/>
        <v/>
      </c>
      <c r="K261" s="165" t="str">
        <f t="shared" si="30"/>
        <v/>
      </c>
      <c r="L261" s="165" t="str">
        <f t="shared" si="34"/>
        <v/>
      </c>
      <c r="M261" s="166" t="str">
        <f t="shared" si="31"/>
        <v/>
      </c>
      <c r="N261" s="167" t="str">
        <f t="shared" si="32"/>
        <v/>
      </c>
    </row>
    <row r="262" spans="1:14" ht="18" x14ac:dyDescent="0.35">
      <c r="A262" t="str">
        <f>IFERROR(B262&amp;" "&amp;COUNTIFS($B$4:B262,B262),"")</f>
        <v xml:space="preserve"> 0</v>
      </c>
      <c r="B262" s="169"/>
      <c r="C262" s="162"/>
      <c r="D262" s="162"/>
      <c r="E262" s="162"/>
      <c r="F262" s="163" t="str">
        <f t="shared" si="33"/>
        <v/>
      </c>
      <c r="G262" s="162"/>
      <c r="H262" s="162"/>
      <c r="I262" s="162"/>
      <c r="J262" s="164" t="str">
        <f t="shared" si="29"/>
        <v/>
      </c>
      <c r="K262" s="165" t="str">
        <f t="shared" si="30"/>
        <v/>
      </c>
      <c r="L262" s="165" t="str">
        <f t="shared" si="34"/>
        <v/>
      </c>
      <c r="M262" s="166" t="str">
        <f t="shared" si="31"/>
        <v/>
      </c>
      <c r="N262" s="167" t="str">
        <f t="shared" si="32"/>
        <v/>
      </c>
    </row>
    <row r="263" spans="1:14" ht="18" x14ac:dyDescent="0.35">
      <c r="A263" t="str">
        <f>IFERROR(B263&amp;" "&amp;COUNTIFS($B$4:B263,B263),"")</f>
        <v xml:space="preserve"> 0</v>
      </c>
      <c r="B263" s="169"/>
      <c r="C263" s="162"/>
      <c r="D263" s="162"/>
      <c r="E263" s="162"/>
      <c r="F263" s="163" t="str">
        <f t="shared" si="33"/>
        <v/>
      </c>
      <c r="G263" s="162"/>
      <c r="H263" s="162"/>
      <c r="I263" s="162"/>
      <c r="J263" s="164" t="str">
        <f t="shared" si="29"/>
        <v/>
      </c>
      <c r="K263" s="165" t="str">
        <f t="shared" si="30"/>
        <v/>
      </c>
      <c r="L263" s="165" t="str">
        <f t="shared" si="34"/>
        <v/>
      </c>
      <c r="M263" s="166" t="str">
        <f t="shared" si="31"/>
        <v/>
      </c>
      <c r="N263" s="167" t="str">
        <f t="shared" si="32"/>
        <v/>
      </c>
    </row>
    <row r="264" spans="1:14" ht="18" x14ac:dyDescent="0.35">
      <c r="A264" t="str">
        <f>IFERROR(B264&amp;" "&amp;COUNTIFS($B$4:B264,B264),"")</f>
        <v xml:space="preserve"> 0</v>
      </c>
      <c r="B264" s="169"/>
      <c r="C264" s="162"/>
      <c r="D264" s="162"/>
      <c r="E264" s="162"/>
      <c r="F264" s="163" t="str">
        <f t="shared" si="33"/>
        <v/>
      </c>
      <c r="G264" s="162"/>
      <c r="H264" s="162"/>
      <c r="I264" s="162"/>
      <c r="J264" s="164" t="str">
        <f t="shared" si="29"/>
        <v/>
      </c>
      <c r="K264" s="165" t="str">
        <f t="shared" si="30"/>
        <v/>
      </c>
      <c r="L264" s="165" t="str">
        <f t="shared" si="34"/>
        <v/>
      </c>
      <c r="M264" s="166" t="str">
        <f t="shared" si="31"/>
        <v/>
      </c>
      <c r="N264" s="167" t="str">
        <f t="shared" si="32"/>
        <v/>
      </c>
    </row>
    <row r="265" spans="1:14" ht="18" x14ac:dyDescent="0.35">
      <c r="A265" t="str">
        <f>IFERROR(B265&amp;" "&amp;COUNTIFS($B$4:B265,B265),"")</f>
        <v xml:space="preserve"> 0</v>
      </c>
      <c r="B265" s="169"/>
      <c r="C265" s="162"/>
      <c r="D265" s="162"/>
      <c r="E265" s="162"/>
      <c r="F265" s="163" t="str">
        <f t="shared" si="33"/>
        <v/>
      </c>
      <c r="G265" s="162"/>
      <c r="H265" s="162"/>
      <c r="I265" s="162"/>
      <c r="J265" s="164" t="str">
        <f t="shared" si="29"/>
        <v/>
      </c>
      <c r="K265" s="165" t="str">
        <f t="shared" si="30"/>
        <v/>
      </c>
      <c r="L265" s="165" t="str">
        <f t="shared" si="34"/>
        <v/>
      </c>
      <c r="M265" s="166" t="str">
        <f t="shared" si="31"/>
        <v/>
      </c>
      <c r="N265" s="167" t="str">
        <f t="shared" si="32"/>
        <v/>
      </c>
    </row>
    <row r="266" spans="1:14" ht="18" x14ac:dyDescent="0.35">
      <c r="A266" t="str">
        <f>IFERROR(B266&amp;" "&amp;COUNTIFS($B$4:B266,B266),"")</f>
        <v xml:space="preserve"> 0</v>
      </c>
      <c r="B266" s="169"/>
      <c r="C266" s="162"/>
      <c r="D266" s="162"/>
      <c r="E266" s="162"/>
      <c r="F266" s="163" t="str">
        <f t="shared" si="33"/>
        <v/>
      </c>
      <c r="G266" s="162"/>
      <c r="H266" s="162"/>
      <c r="I266" s="162"/>
      <c r="J266" s="164" t="str">
        <f t="shared" si="29"/>
        <v/>
      </c>
      <c r="K266" s="165" t="str">
        <f t="shared" si="30"/>
        <v/>
      </c>
      <c r="L266" s="165" t="str">
        <f t="shared" si="34"/>
        <v/>
      </c>
      <c r="M266" s="166" t="str">
        <f t="shared" si="31"/>
        <v/>
      </c>
      <c r="N266" s="167" t="str">
        <f t="shared" si="32"/>
        <v/>
      </c>
    </row>
    <row r="267" spans="1:14" ht="18" x14ac:dyDescent="0.35">
      <c r="A267" t="str">
        <f>IFERROR(B267&amp;" "&amp;COUNTIFS($B$4:B267,B267),"")</f>
        <v xml:space="preserve"> 0</v>
      </c>
      <c r="B267" s="169"/>
      <c r="C267" s="162"/>
      <c r="D267" s="162"/>
      <c r="E267" s="162"/>
      <c r="F267" s="163" t="str">
        <f t="shared" si="33"/>
        <v/>
      </c>
      <c r="G267" s="162"/>
      <c r="H267" s="162"/>
      <c r="I267" s="162"/>
      <c r="J267" s="164" t="str">
        <f t="shared" si="29"/>
        <v/>
      </c>
      <c r="K267" s="165" t="str">
        <f t="shared" si="30"/>
        <v/>
      </c>
      <c r="L267" s="165" t="str">
        <f t="shared" si="34"/>
        <v/>
      </c>
      <c r="M267" s="166" t="str">
        <f t="shared" si="31"/>
        <v/>
      </c>
      <c r="N267" s="167" t="str">
        <f t="shared" si="32"/>
        <v/>
      </c>
    </row>
    <row r="268" spans="1:14" ht="18" x14ac:dyDescent="0.35">
      <c r="A268" t="str">
        <f>IFERROR(B268&amp;" "&amp;COUNTIFS($B$4:B268,B268),"")</f>
        <v xml:space="preserve"> 0</v>
      </c>
      <c r="B268" s="169"/>
      <c r="C268" s="162"/>
      <c r="D268" s="162"/>
      <c r="E268" s="162"/>
      <c r="F268" s="163" t="str">
        <f t="shared" si="33"/>
        <v/>
      </c>
      <c r="G268" s="162"/>
      <c r="H268" s="162"/>
      <c r="I268" s="162"/>
      <c r="J268" s="164" t="str">
        <f t="shared" si="29"/>
        <v/>
      </c>
      <c r="K268" s="165" t="str">
        <f t="shared" si="30"/>
        <v/>
      </c>
      <c r="L268" s="165" t="str">
        <f t="shared" si="34"/>
        <v/>
      </c>
      <c r="M268" s="166" t="str">
        <f t="shared" si="31"/>
        <v/>
      </c>
      <c r="N268" s="167" t="str">
        <f t="shared" si="32"/>
        <v/>
      </c>
    </row>
    <row r="269" spans="1:14" ht="18" x14ac:dyDescent="0.35">
      <c r="A269" t="str">
        <f>IFERROR(B269&amp;" "&amp;COUNTIFS($B$4:B269,B269),"")</f>
        <v xml:space="preserve"> 0</v>
      </c>
      <c r="B269" s="169"/>
      <c r="C269" s="162"/>
      <c r="D269" s="162"/>
      <c r="E269" s="162"/>
      <c r="F269" s="163" t="str">
        <f t="shared" si="33"/>
        <v/>
      </c>
      <c r="G269" s="162"/>
      <c r="H269" s="162"/>
      <c r="I269" s="162"/>
      <c r="J269" s="164" t="str">
        <f t="shared" si="29"/>
        <v/>
      </c>
      <c r="K269" s="165" t="str">
        <f t="shared" si="30"/>
        <v/>
      </c>
      <c r="L269" s="165" t="str">
        <f t="shared" si="34"/>
        <v/>
      </c>
      <c r="M269" s="166" t="str">
        <f t="shared" si="31"/>
        <v/>
      </c>
      <c r="N269" s="167" t="str">
        <f t="shared" si="32"/>
        <v/>
      </c>
    </row>
    <row r="270" spans="1:14" ht="18" x14ac:dyDescent="0.35">
      <c r="A270" t="str">
        <f>IFERROR(B270&amp;" "&amp;COUNTIFS($B$4:B270,B270),"")</f>
        <v xml:space="preserve"> 0</v>
      </c>
      <c r="B270" s="169"/>
      <c r="C270" s="162"/>
      <c r="D270" s="162"/>
      <c r="E270" s="162"/>
      <c r="F270" s="163" t="str">
        <f t="shared" si="33"/>
        <v/>
      </c>
      <c r="G270" s="162"/>
      <c r="H270" s="162"/>
      <c r="I270" s="162"/>
      <c r="J270" s="164" t="str">
        <f t="shared" si="29"/>
        <v/>
      </c>
      <c r="K270" s="165" t="str">
        <f t="shared" si="30"/>
        <v/>
      </c>
      <c r="L270" s="165" t="str">
        <f t="shared" si="34"/>
        <v/>
      </c>
      <c r="M270" s="166" t="str">
        <f t="shared" si="31"/>
        <v/>
      </c>
      <c r="N270" s="167" t="str">
        <f t="shared" si="32"/>
        <v/>
      </c>
    </row>
    <row r="271" spans="1:14" ht="18" x14ac:dyDescent="0.35">
      <c r="A271" t="str">
        <f>IFERROR(B271&amp;" "&amp;COUNTIFS($B$4:B271,B271),"")</f>
        <v xml:space="preserve"> 0</v>
      </c>
      <c r="B271" s="169"/>
      <c r="C271" s="162"/>
      <c r="D271" s="162"/>
      <c r="E271" s="162"/>
      <c r="F271" s="163" t="str">
        <f t="shared" si="33"/>
        <v/>
      </c>
      <c r="G271" s="162"/>
      <c r="H271" s="162"/>
      <c r="I271" s="162"/>
      <c r="J271" s="164" t="str">
        <f t="shared" si="29"/>
        <v/>
      </c>
      <c r="K271" s="165" t="str">
        <f t="shared" si="30"/>
        <v/>
      </c>
      <c r="L271" s="165" t="str">
        <f t="shared" si="34"/>
        <v/>
      </c>
      <c r="M271" s="166" t="str">
        <f t="shared" si="31"/>
        <v/>
      </c>
      <c r="N271" s="167" t="str">
        <f t="shared" si="32"/>
        <v/>
      </c>
    </row>
    <row r="272" spans="1:14" ht="18" x14ac:dyDescent="0.35">
      <c r="A272" t="str">
        <f>IFERROR(B272&amp;" "&amp;COUNTIFS($B$4:B272,B272),"")</f>
        <v xml:space="preserve"> 0</v>
      </c>
      <c r="B272" s="169"/>
      <c r="C272" s="162"/>
      <c r="D272" s="162"/>
      <c r="E272" s="162"/>
      <c r="F272" s="163" t="str">
        <f t="shared" si="33"/>
        <v/>
      </c>
      <c r="G272" s="162"/>
      <c r="H272" s="162"/>
      <c r="I272" s="162"/>
      <c r="J272" s="164" t="str">
        <f t="shared" si="29"/>
        <v/>
      </c>
      <c r="K272" s="165" t="str">
        <f t="shared" si="30"/>
        <v/>
      </c>
      <c r="L272" s="165" t="str">
        <f t="shared" si="34"/>
        <v/>
      </c>
      <c r="M272" s="166" t="str">
        <f t="shared" si="31"/>
        <v/>
      </c>
      <c r="N272" s="167" t="str">
        <f t="shared" si="32"/>
        <v/>
      </c>
    </row>
    <row r="273" spans="1:14" ht="18" x14ac:dyDescent="0.35">
      <c r="A273" t="str">
        <f>IFERROR(B273&amp;" "&amp;COUNTIFS($B$4:B273,B273),"")</f>
        <v xml:space="preserve"> 0</v>
      </c>
      <c r="B273" s="169"/>
      <c r="C273" s="162"/>
      <c r="D273" s="162"/>
      <c r="E273" s="162"/>
      <c r="F273" s="163" t="str">
        <f t="shared" si="33"/>
        <v/>
      </c>
      <c r="G273" s="162"/>
      <c r="H273" s="162"/>
      <c r="I273" s="162"/>
      <c r="J273" s="164" t="str">
        <f t="shared" si="29"/>
        <v/>
      </c>
      <c r="K273" s="165" t="str">
        <f t="shared" si="30"/>
        <v/>
      </c>
      <c r="L273" s="165" t="str">
        <f t="shared" si="34"/>
        <v/>
      </c>
      <c r="M273" s="166" t="str">
        <f t="shared" si="31"/>
        <v/>
      </c>
      <c r="N273" s="167" t="str">
        <f t="shared" si="32"/>
        <v/>
      </c>
    </row>
    <row r="274" spans="1:14" ht="18" x14ac:dyDescent="0.35">
      <c r="A274" t="str">
        <f>IFERROR(B274&amp;" "&amp;COUNTIFS($B$4:B274,B274),"")</f>
        <v xml:space="preserve"> 0</v>
      </c>
      <c r="B274" s="169"/>
      <c r="C274" s="162"/>
      <c r="D274" s="162"/>
      <c r="E274" s="162"/>
      <c r="F274" s="163" t="str">
        <f t="shared" si="33"/>
        <v/>
      </c>
      <c r="G274" s="162"/>
      <c r="H274" s="162"/>
      <c r="I274" s="162"/>
      <c r="J274" s="164" t="str">
        <f t="shared" si="29"/>
        <v/>
      </c>
      <c r="K274" s="165" t="str">
        <f t="shared" si="30"/>
        <v/>
      </c>
      <c r="L274" s="165" t="str">
        <f t="shared" si="34"/>
        <v/>
      </c>
      <c r="M274" s="166" t="str">
        <f t="shared" si="31"/>
        <v/>
      </c>
      <c r="N274" s="167" t="str">
        <f t="shared" si="32"/>
        <v/>
      </c>
    </row>
    <row r="275" spans="1:14" ht="18" x14ac:dyDescent="0.35">
      <c r="A275" t="str">
        <f>IFERROR(B275&amp;" "&amp;COUNTIFS($B$4:B275,B275),"")</f>
        <v xml:space="preserve"> 0</v>
      </c>
      <c r="B275" s="169"/>
      <c r="C275" s="162"/>
      <c r="D275" s="162"/>
      <c r="E275" s="162"/>
      <c r="F275" s="163" t="str">
        <f t="shared" si="33"/>
        <v/>
      </c>
      <c r="G275" s="162"/>
      <c r="H275" s="162"/>
      <c r="I275" s="162"/>
      <c r="J275" s="164" t="str">
        <f t="shared" si="29"/>
        <v/>
      </c>
      <c r="K275" s="165" t="str">
        <f t="shared" si="30"/>
        <v/>
      </c>
      <c r="L275" s="165" t="str">
        <f t="shared" si="34"/>
        <v/>
      </c>
      <c r="M275" s="166" t="str">
        <f t="shared" si="31"/>
        <v/>
      </c>
      <c r="N275" s="167" t="str">
        <f t="shared" si="32"/>
        <v/>
      </c>
    </row>
    <row r="276" spans="1:14" ht="18" x14ac:dyDescent="0.35">
      <c r="A276" t="str">
        <f>IFERROR(B276&amp;" "&amp;COUNTIFS($B$4:B276,B276),"")</f>
        <v xml:space="preserve"> 0</v>
      </c>
      <c r="B276" s="169"/>
      <c r="C276" s="162"/>
      <c r="D276" s="162"/>
      <c r="E276" s="162"/>
      <c r="F276" s="163" t="str">
        <f t="shared" si="33"/>
        <v/>
      </c>
      <c r="G276" s="162"/>
      <c r="H276" s="162"/>
      <c r="I276" s="162"/>
      <c r="J276" s="164" t="str">
        <f t="shared" si="29"/>
        <v/>
      </c>
      <c r="K276" s="165" t="str">
        <f t="shared" si="30"/>
        <v/>
      </c>
      <c r="L276" s="165" t="str">
        <f t="shared" si="34"/>
        <v/>
      </c>
      <c r="M276" s="166" t="str">
        <f t="shared" si="31"/>
        <v/>
      </c>
      <c r="N276" s="167" t="str">
        <f t="shared" si="32"/>
        <v/>
      </c>
    </row>
    <row r="277" spans="1:14" ht="18" x14ac:dyDescent="0.35">
      <c r="A277" t="str">
        <f>IFERROR(B277&amp;" "&amp;COUNTIFS($B$4:B277,B277),"")</f>
        <v xml:space="preserve"> 0</v>
      </c>
      <c r="B277" s="169"/>
      <c r="C277" s="162"/>
      <c r="D277" s="162"/>
      <c r="E277" s="162"/>
      <c r="F277" s="163" t="str">
        <f t="shared" si="33"/>
        <v/>
      </c>
      <c r="G277" s="162"/>
      <c r="H277" s="162"/>
      <c r="I277" s="162"/>
      <c r="J277" s="164" t="str">
        <f t="shared" si="29"/>
        <v/>
      </c>
      <c r="K277" s="165" t="str">
        <f t="shared" si="30"/>
        <v/>
      </c>
      <c r="L277" s="165" t="str">
        <f t="shared" si="34"/>
        <v/>
      </c>
      <c r="M277" s="166" t="str">
        <f t="shared" si="31"/>
        <v/>
      </c>
      <c r="N277" s="167" t="str">
        <f t="shared" si="32"/>
        <v/>
      </c>
    </row>
    <row r="278" spans="1:14" ht="18" x14ac:dyDescent="0.35">
      <c r="A278" t="str">
        <f>IFERROR(B278&amp;" "&amp;COUNTIFS($B$4:B278,B278),"")</f>
        <v xml:space="preserve"> 0</v>
      </c>
      <c r="B278" s="169"/>
      <c r="C278" s="162"/>
      <c r="D278" s="162"/>
      <c r="E278" s="162"/>
      <c r="F278" s="163" t="str">
        <f t="shared" si="33"/>
        <v/>
      </c>
      <c r="G278" s="162"/>
      <c r="H278" s="162"/>
      <c r="I278" s="162"/>
      <c r="J278" s="164" t="str">
        <f t="shared" si="29"/>
        <v/>
      </c>
      <c r="K278" s="165" t="str">
        <f t="shared" si="30"/>
        <v/>
      </c>
      <c r="L278" s="165" t="str">
        <f t="shared" si="34"/>
        <v/>
      </c>
      <c r="M278" s="166" t="str">
        <f t="shared" si="31"/>
        <v/>
      </c>
      <c r="N278" s="167" t="str">
        <f t="shared" si="32"/>
        <v/>
      </c>
    </row>
    <row r="279" spans="1:14" ht="18" x14ac:dyDescent="0.35">
      <c r="A279" t="str">
        <f>IFERROR(B279&amp;" "&amp;COUNTIFS($B$4:B279,B279),"")</f>
        <v xml:space="preserve"> 0</v>
      </c>
      <c r="B279" s="169"/>
      <c r="C279" s="162"/>
      <c r="D279" s="162"/>
      <c r="E279" s="162"/>
      <c r="F279" s="163" t="str">
        <f t="shared" si="33"/>
        <v/>
      </c>
      <c r="G279" s="162"/>
      <c r="H279" s="162"/>
      <c r="I279" s="162"/>
      <c r="J279" s="164" t="str">
        <f t="shared" si="29"/>
        <v/>
      </c>
      <c r="K279" s="165" t="str">
        <f t="shared" si="30"/>
        <v/>
      </c>
      <c r="L279" s="165" t="str">
        <f t="shared" si="34"/>
        <v/>
      </c>
      <c r="M279" s="166" t="str">
        <f t="shared" si="31"/>
        <v/>
      </c>
      <c r="N279" s="167" t="str">
        <f t="shared" si="32"/>
        <v/>
      </c>
    </row>
    <row r="280" spans="1:14" ht="18" x14ac:dyDescent="0.35">
      <c r="A280" t="str">
        <f>IFERROR(B280&amp;" "&amp;COUNTIFS($B$4:B280,B280),"")</f>
        <v xml:space="preserve"> 0</v>
      </c>
      <c r="B280" s="169"/>
      <c r="C280" s="162"/>
      <c r="D280" s="162"/>
      <c r="E280" s="162"/>
      <c r="F280" s="163" t="str">
        <f t="shared" si="33"/>
        <v/>
      </c>
      <c r="G280" s="162"/>
      <c r="H280" s="162"/>
      <c r="I280" s="162"/>
      <c r="J280" s="164" t="str">
        <f t="shared" si="29"/>
        <v/>
      </c>
      <c r="K280" s="165" t="str">
        <f t="shared" si="30"/>
        <v/>
      </c>
      <c r="L280" s="165" t="str">
        <f t="shared" si="34"/>
        <v/>
      </c>
      <c r="M280" s="166" t="str">
        <f t="shared" si="31"/>
        <v/>
      </c>
      <c r="N280" s="167" t="str">
        <f t="shared" si="32"/>
        <v/>
      </c>
    </row>
    <row r="281" spans="1:14" ht="18" x14ac:dyDescent="0.35">
      <c r="A281" t="str">
        <f>IFERROR(B281&amp;" "&amp;COUNTIFS($B$4:B281,B281),"")</f>
        <v xml:space="preserve"> 0</v>
      </c>
      <c r="B281" s="169"/>
      <c r="C281" s="162"/>
      <c r="D281" s="162"/>
      <c r="E281" s="162"/>
      <c r="F281" s="163" t="str">
        <f t="shared" si="33"/>
        <v/>
      </c>
      <c r="G281" s="162"/>
      <c r="H281" s="162"/>
      <c r="I281" s="162"/>
      <c r="J281" s="164" t="str">
        <f t="shared" si="29"/>
        <v/>
      </c>
      <c r="K281" s="165" t="str">
        <f t="shared" si="30"/>
        <v/>
      </c>
      <c r="L281" s="165" t="str">
        <f t="shared" si="34"/>
        <v/>
      </c>
      <c r="M281" s="166" t="str">
        <f t="shared" si="31"/>
        <v/>
      </c>
      <c r="N281" s="167" t="str">
        <f t="shared" si="32"/>
        <v/>
      </c>
    </row>
    <row r="282" spans="1:14" ht="18" x14ac:dyDescent="0.35">
      <c r="A282" t="str">
        <f>IFERROR(B282&amp;" "&amp;COUNTIFS($B$4:B282,B282),"")</f>
        <v xml:space="preserve"> 0</v>
      </c>
      <c r="B282" s="169"/>
      <c r="C282" s="162"/>
      <c r="D282" s="162"/>
      <c r="E282" s="162"/>
      <c r="F282" s="163" t="str">
        <f t="shared" si="33"/>
        <v/>
      </c>
      <c r="G282" s="162"/>
      <c r="H282" s="162"/>
      <c r="I282" s="162"/>
      <c r="J282" s="164" t="str">
        <f t="shared" si="29"/>
        <v/>
      </c>
      <c r="K282" s="165" t="str">
        <f t="shared" si="30"/>
        <v/>
      </c>
      <c r="L282" s="165" t="str">
        <f t="shared" si="34"/>
        <v/>
      </c>
      <c r="M282" s="166" t="str">
        <f t="shared" si="31"/>
        <v/>
      </c>
      <c r="N282" s="167" t="str">
        <f t="shared" si="32"/>
        <v/>
      </c>
    </row>
    <row r="283" spans="1:14" ht="18" x14ac:dyDescent="0.35">
      <c r="A283" t="str">
        <f>IFERROR(B283&amp;" "&amp;COUNTIFS($B$4:B283,B283),"")</f>
        <v xml:space="preserve"> 0</v>
      </c>
      <c r="B283" s="169"/>
      <c r="C283" s="162"/>
      <c r="D283" s="162"/>
      <c r="E283" s="162"/>
      <c r="F283" s="163" t="str">
        <f t="shared" si="33"/>
        <v/>
      </c>
      <c r="G283" s="162"/>
      <c r="H283" s="162"/>
      <c r="I283" s="162"/>
      <c r="J283" s="164" t="str">
        <f t="shared" si="29"/>
        <v/>
      </c>
      <c r="K283" s="165" t="str">
        <f t="shared" si="30"/>
        <v/>
      </c>
      <c r="L283" s="165" t="str">
        <f t="shared" si="34"/>
        <v/>
      </c>
      <c r="M283" s="166" t="str">
        <f t="shared" si="31"/>
        <v/>
      </c>
      <c r="N283" s="167" t="str">
        <f t="shared" si="32"/>
        <v/>
      </c>
    </row>
    <row r="284" spans="1:14" ht="18" x14ac:dyDescent="0.35">
      <c r="A284" t="str">
        <f>IFERROR(B284&amp;" "&amp;COUNTIFS($B$4:B284,B284),"")</f>
        <v xml:space="preserve"> 0</v>
      </c>
      <c r="B284" s="169"/>
      <c r="C284" s="162"/>
      <c r="D284" s="162"/>
      <c r="E284" s="162"/>
      <c r="F284" s="163" t="str">
        <f t="shared" si="33"/>
        <v/>
      </c>
      <c r="G284" s="162"/>
      <c r="H284" s="162"/>
      <c r="I284" s="162"/>
      <c r="J284" s="164" t="str">
        <f t="shared" si="29"/>
        <v/>
      </c>
      <c r="K284" s="165" t="str">
        <f t="shared" si="30"/>
        <v/>
      </c>
      <c r="L284" s="165" t="str">
        <f t="shared" si="34"/>
        <v/>
      </c>
      <c r="M284" s="166" t="str">
        <f t="shared" si="31"/>
        <v/>
      </c>
      <c r="N284" s="167" t="str">
        <f t="shared" si="32"/>
        <v/>
      </c>
    </row>
    <row r="285" spans="1:14" ht="18" x14ac:dyDescent="0.35">
      <c r="A285" t="str">
        <f>IFERROR(B285&amp;" "&amp;COUNTIFS($B$4:B285,B285),"")</f>
        <v xml:space="preserve"> 0</v>
      </c>
      <c r="B285" s="169"/>
      <c r="C285" s="162"/>
      <c r="D285" s="162"/>
      <c r="E285" s="162"/>
      <c r="F285" s="163" t="str">
        <f t="shared" si="33"/>
        <v/>
      </c>
      <c r="G285" s="162"/>
      <c r="H285" s="162"/>
      <c r="I285" s="162"/>
      <c r="J285" s="164" t="str">
        <f t="shared" si="29"/>
        <v/>
      </c>
      <c r="K285" s="165" t="str">
        <f t="shared" si="30"/>
        <v/>
      </c>
      <c r="L285" s="165" t="str">
        <f t="shared" si="34"/>
        <v/>
      </c>
      <c r="M285" s="166" t="str">
        <f t="shared" si="31"/>
        <v/>
      </c>
      <c r="N285" s="167" t="str">
        <f t="shared" si="32"/>
        <v/>
      </c>
    </row>
    <row r="286" spans="1:14" ht="18" x14ac:dyDescent="0.35">
      <c r="A286" t="str">
        <f>IFERROR(B286&amp;" "&amp;COUNTIFS($B$4:B286,B286),"")</f>
        <v xml:space="preserve"> 0</v>
      </c>
      <c r="B286" s="169"/>
      <c r="C286" s="162"/>
      <c r="D286" s="162"/>
      <c r="E286" s="162"/>
      <c r="F286" s="163" t="str">
        <f t="shared" si="33"/>
        <v/>
      </c>
      <c r="G286" s="162"/>
      <c r="H286" s="162"/>
      <c r="I286" s="162"/>
      <c r="J286" s="164" t="str">
        <f t="shared" si="29"/>
        <v/>
      </c>
      <c r="K286" s="165" t="str">
        <f t="shared" si="30"/>
        <v/>
      </c>
      <c r="L286" s="165" t="str">
        <f t="shared" si="34"/>
        <v/>
      </c>
      <c r="M286" s="166" t="str">
        <f t="shared" si="31"/>
        <v/>
      </c>
      <c r="N286" s="167" t="str">
        <f t="shared" si="32"/>
        <v/>
      </c>
    </row>
    <row r="287" spans="1:14" ht="18" x14ac:dyDescent="0.35">
      <c r="A287" t="str">
        <f>IFERROR(B287&amp;" "&amp;COUNTIFS($B$4:B287,B287),"")</f>
        <v xml:space="preserve"> 0</v>
      </c>
      <c r="B287" s="169"/>
      <c r="C287" s="162"/>
      <c r="D287" s="162"/>
      <c r="E287" s="162"/>
      <c r="F287" s="163" t="str">
        <f t="shared" si="33"/>
        <v/>
      </c>
      <c r="G287" s="162"/>
      <c r="H287" s="162"/>
      <c r="I287" s="162"/>
      <c r="J287" s="164" t="str">
        <f t="shared" si="29"/>
        <v/>
      </c>
      <c r="K287" s="165" t="str">
        <f t="shared" si="30"/>
        <v/>
      </c>
      <c r="L287" s="165" t="str">
        <f t="shared" si="34"/>
        <v/>
      </c>
      <c r="M287" s="166" t="str">
        <f t="shared" si="31"/>
        <v/>
      </c>
      <c r="N287" s="167" t="str">
        <f t="shared" si="32"/>
        <v/>
      </c>
    </row>
    <row r="288" spans="1:14" ht="18" x14ac:dyDescent="0.35">
      <c r="A288" t="str">
        <f>IFERROR(B288&amp;" "&amp;COUNTIFS($B$4:B288,B288),"")</f>
        <v xml:space="preserve"> 0</v>
      </c>
      <c r="B288" s="169"/>
      <c r="C288" s="162"/>
      <c r="D288" s="162"/>
      <c r="E288" s="162"/>
      <c r="F288" s="163" t="str">
        <f t="shared" si="33"/>
        <v/>
      </c>
      <c r="G288" s="162"/>
      <c r="H288" s="162"/>
      <c r="I288" s="162"/>
      <c r="J288" s="164" t="str">
        <f t="shared" si="29"/>
        <v/>
      </c>
      <c r="K288" s="165" t="str">
        <f t="shared" si="30"/>
        <v/>
      </c>
      <c r="L288" s="165" t="str">
        <f t="shared" si="34"/>
        <v/>
      </c>
      <c r="M288" s="166" t="str">
        <f t="shared" si="31"/>
        <v/>
      </c>
      <c r="N288" s="167" t="str">
        <f t="shared" si="32"/>
        <v/>
      </c>
    </row>
    <row r="289" spans="1:14" ht="18" x14ac:dyDescent="0.35">
      <c r="A289" t="str">
        <f>IFERROR(B289&amp;" "&amp;COUNTIFS($B$4:B289,B289),"")</f>
        <v xml:space="preserve"> 0</v>
      </c>
      <c r="B289" s="169"/>
      <c r="C289" s="162"/>
      <c r="D289" s="162"/>
      <c r="E289" s="162"/>
      <c r="F289" s="163" t="str">
        <f t="shared" si="33"/>
        <v/>
      </c>
      <c r="G289" s="162"/>
      <c r="H289" s="162"/>
      <c r="I289" s="162"/>
      <c r="J289" s="164" t="str">
        <f t="shared" si="29"/>
        <v/>
      </c>
      <c r="K289" s="165" t="str">
        <f t="shared" si="30"/>
        <v/>
      </c>
      <c r="L289" s="165" t="str">
        <f t="shared" si="34"/>
        <v/>
      </c>
      <c r="M289" s="166" t="str">
        <f t="shared" si="31"/>
        <v/>
      </c>
      <c r="N289" s="167" t="str">
        <f t="shared" si="32"/>
        <v/>
      </c>
    </row>
    <row r="290" spans="1:14" ht="18" x14ac:dyDescent="0.35">
      <c r="A290" t="str">
        <f>IFERROR(B290&amp;" "&amp;COUNTIFS($B$4:B290,B290),"")</f>
        <v xml:space="preserve"> 0</v>
      </c>
      <c r="B290" s="169"/>
      <c r="C290" s="162"/>
      <c r="D290" s="162"/>
      <c r="E290" s="162"/>
      <c r="F290" s="163" t="str">
        <f t="shared" si="33"/>
        <v/>
      </c>
      <c r="G290" s="162"/>
      <c r="H290" s="162"/>
      <c r="I290" s="162"/>
      <c r="J290" s="164" t="str">
        <f t="shared" si="29"/>
        <v/>
      </c>
      <c r="K290" s="165" t="str">
        <f t="shared" si="30"/>
        <v/>
      </c>
      <c r="L290" s="165" t="str">
        <f t="shared" si="34"/>
        <v/>
      </c>
      <c r="M290" s="166" t="str">
        <f t="shared" si="31"/>
        <v/>
      </c>
      <c r="N290" s="167" t="str">
        <f t="shared" si="32"/>
        <v/>
      </c>
    </row>
    <row r="291" spans="1:14" ht="18" x14ac:dyDescent="0.35">
      <c r="A291" t="str">
        <f>IFERROR(B291&amp;" "&amp;COUNTIFS($B$4:B291,B291),"")</f>
        <v xml:space="preserve"> 0</v>
      </c>
      <c r="B291" s="169"/>
      <c r="C291" s="162"/>
      <c r="D291" s="162"/>
      <c r="E291" s="162"/>
      <c r="F291" s="163" t="str">
        <f t="shared" si="33"/>
        <v/>
      </c>
      <c r="G291" s="162"/>
      <c r="H291" s="162"/>
      <c r="I291" s="162"/>
      <c r="J291" s="164" t="str">
        <f t="shared" si="29"/>
        <v/>
      </c>
      <c r="K291" s="165" t="str">
        <f t="shared" si="30"/>
        <v/>
      </c>
      <c r="L291" s="165" t="str">
        <f t="shared" si="34"/>
        <v/>
      </c>
      <c r="M291" s="166" t="str">
        <f t="shared" si="31"/>
        <v/>
      </c>
      <c r="N291" s="167" t="str">
        <f t="shared" si="32"/>
        <v/>
      </c>
    </row>
    <row r="292" spans="1:14" ht="18" x14ac:dyDescent="0.35">
      <c r="A292" t="str">
        <f>IFERROR(B292&amp;" "&amp;COUNTIFS($B$4:B292,B292),"")</f>
        <v xml:space="preserve"> 0</v>
      </c>
      <c r="B292" s="169"/>
      <c r="C292" s="162"/>
      <c r="D292" s="162"/>
      <c r="E292" s="162"/>
      <c r="F292" s="163" t="str">
        <f t="shared" si="33"/>
        <v/>
      </c>
      <c r="G292" s="162"/>
      <c r="H292" s="162"/>
      <c r="I292" s="162"/>
      <c r="J292" s="164" t="str">
        <f t="shared" si="29"/>
        <v/>
      </c>
      <c r="K292" s="165" t="str">
        <f t="shared" si="30"/>
        <v/>
      </c>
      <c r="L292" s="165" t="str">
        <f t="shared" si="34"/>
        <v/>
      </c>
      <c r="M292" s="166" t="str">
        <f t="shared" si="31"/>
        <v/>
      </c>
      <c r="N292" s="167" t="str">
        <f t="shared" si="32"/>
        <v/>
      </c>
    </row>
    <row r="293" spans="1:14" ht="18" x14ac:dyDescent="0.35">
      <c r="A293" t="str">
        <f>IFERROR(B293&amp;" "&amp;COUNTIFS($B$4:B293,B293),"")</f>
        <v xml:space="preserve"> 0</v>
      </c>
      <c r="B293" s="169"/>
      <c r="C293" s="162"/>
      <c r="D293" s="162"/>
      <c r="E293" s="162"/>
      <c r="F293" s="163" t="str">
        <f t="shared" si="33"/>
        <v/>
      </c>
      <c r="G293" s="162"/>
      <c r="H293" s="162"/>
      <c r="I293" s="162"/>
      <c r="J293" s="164" t="str">
        <f t="shared" si="29"/>
        <v/>
      </c>
      <c r="K293" s="165" t="str">
        <f t="shared" si="30"/>
        <v/>
      </c>
      <c r="L293" s="165" t="str">
        <f t="shared" si="34"/>
        <v/>
      </c>
      <c r="M293" s="166" t="str">
        <f t="shared" si="31"/>
        <v/>
      </c>
      <c r="N293" s="167" t="str">
        <f t="shared" si="32"/>
        <v/>
      </c>
    </row>
    <row r="294" spans="1:14" ht="18" x14ac:dyDescent="0.35">
      <c r="A294" t="str">
        <f>IFERROR(B294&amp;" "&amp;COUNTIFS($B$4:B294,B294),"")</f>
        <v xml:space="preserve"> 0</v>
      </c>
      <c r="B294" s="169"/>
      <c r="C294" s="162"/>
      <c r="D294" s="162"/>
      <c r="E294" s="162"/>
      <c r="F294" s="163" t="str">
        <f t="shared" si="33"/>
        <v/>
      </c>
      <c r="G294" s="162"/>
      <c r="H294" s="162"/>
      <c r="I294" s="162"/>
      <c r="J294" s="164" t="str">
        <f t="shared" si="29"/>
        <v/>
      </c>
      <c r="K294" s="165" t="str">
        <f t="shared" si="30"/>
        <v/>
      </c>
      <c r="L294" s="165" t="str">
        <f t="shared" si="34"/>
        <v/>
      </c>
      <c r="M294" s="166" t="str">
        <f t="shared" si="31"/>
        <v/>
      </c>
      <c r="N294" s="167" t="str">
        <f t="shared" si="32"/>
        <v/>
      </c>
    </row>
    <row r="295" spans="1:14" ht="18" x14ac:dyDescent="0.35">
      <c r="A295" t="str">
        <f>IFERROR(B295&amp;" "&amp;COUNTIFS($B$4:B295,B295),"")</f>
        <v xml:space="preserve"> 0</v>
      </c>
      <c r="B295" s="169"/>
      <c r="C295" s="162"/>
      <c r="D295" s="162"/>
      <c r="E295" s="162"/>
      <c r="F295" s="163" t="str">
        <f t="shared" si="33"/>
        <v/>
      </c>
      <c r="G295" s="162"/>
      <c r="H295" s="162"/>
      <c r="I295" s="162"/>
      <c r="J295" s="164" t="str">
        <f t="shared" si="29"/>
        <v/>
      </c>
      <c r="K295" s="165" t="str">
        <f t="shared" si="30"/>
        <v/>
      </c>
      <c r="L295" s="165" t="str">
        <f t="shared" si="34"/>
        <v/>
      </c>
      <c r="M295" s="166" t="str">
        <f t="shared" si="31"/>
        <v/>
      </c>
      <c r="N295" s="167" t="str">
        <f t="shared" si="32"/>
        <v/>
      </c>
    </row>
    <row r="296" spans="1:14" ht="18" x14ac:dyDescent="0.35">
      <c r="A296" t="str">
        <f>IFERROR(B296&amp;" "&amp;COUNTIFS($B$4:B296,B296),"")</f>
        <v xml:space="preserve"> 0</v>
      </c>
      <c r="B296" s="169"/>
      <c r="C296" s="162"/>
      <c r="D296" s="162"/>
      <c r="E296" s="162"/>
      <c r="F296" s="163" t="str">
        <f t="shared" si="33"/>
        <v/>
      </c>
      <c r="G296" s="162"/>
      <c r="H296" s="162"/>
      <c r="I296" s="162"/>
      <c r="J296" s="164" t="str">
        <f t="shared" si="29"/>
        <v/>
      </c>
      <c r="K296" s="165" t="str">
        <f t="shared" si="30"/>
        <v/>
      </c>
      <c r="L296" s="165" t="str">
        <f t="shared" si="34"/>
        <v/>
      </c>
      <c r="M296" s="166" t="str">
        <f t="shared" si="31"/>
        <v/>
      </c>
      <c r="N296" s="167" t="str">
        <f t="shared" si="32"/>
        <v/>
      </c>
    </row>
    <row r="297" spans="1:14" ht="18" x14ac:dyDescent="0.35">
      <c r="A297" t="str">
        <f>IFERROR(B297&amp;" "&amp;COUNTIFS($B$4:B297,B297),"")</f>
        <v xml:space="preserve"> 0</v>
      </c>
      <c r="B297" s="169"/>
      <c r="C297" s="162"/>
      <c r="D297" s="162"/>
      <c r="E297" s="162"/>
      <c r="F297" s="163" t="str">
        <f t="shared" si="33"/>
        <v/>
      </c>
      <c r="G297" s="162"/>
      <c r="H297" s="162"/>
      <c r="I297" s="162"/>
      <c r="J297" s="164" t="str">
        <f t="shared" si="29"/>
        <v/>
      </c>
      <c r="K297" s="165" t="str">
        <f t="shared" si="30"/>
        <v/>
      </c>
      <c r="L297" s="165" t="str">
        <f t="shared" si="34"/>
        <v/>
      </c>
      <c r="M297" s="166" t="str">
        <f t="shared" si="31"/>
        <v/>
      </c>
      <c r="N297" s="167" t="str">
        <f t="shared" si="32"/>
        <v/>
      </c>
    </row>
    <row r="298" spans="1:14" ht="18" x14ac:dyDescent="0.35">
      <c r="A298" t="str">
        <f>IFERROR(B298&amp;" "&amp;COUNTIFS($B$4:B298,B298),"")</f>
        <v xml:space="preserve"> 0</v>
      </c>
      <c r="B298" s="169"/>
      <c r="C298" s="162"/>
      <c r="D298" s="162"/>
      <c r="E298" s="162"/>
      <c r="F298" s="163" t="str">
        <f t="shared" si="33"/>
        <v/>
      </c>
      <c r="G298" s="162"/>
      <c r="H298" s="162"/>
      <c r="I298" s="162"/>
      <c r="J298" s="164" t="str">
        <f t="shared" si="29"/>
        <v/>
      </c>
      <c r="K298" s="165" t="str">
        <f t="shared" si="30"/>
        <v/>
      </c>
      <c r="L298" s="165" t="str">
        <f t="shared" si="34"/>
        <v/>
      </c>
      <c r="M298" s="166" t="str">
        <f t="shared" si="31"/>
        <v/>
      </c>
      <c r="N298" s="167" t="str">
        <f t="shared" si="32"/>
        <v/>
      </c>
    </row>
    <row r="299" spans="1:14" ht="18" x14ac:dyDescent="0.35">
      <c r="A299" t="str">
        <f>IFERROR(B299&amp;" "&amp;COUNTIFS($B$4:B299,B299),"")</f>
        <v xml:space="preserve"> 0</v>
      </c>
      <c r="B299" s="169"/>
      <c r="C299" s="162"/>
      <c r="D299" s="162"/>
      <c r="E299" s="162"/>
      <c r="F299" s="163" t="str">
        <f t="shared" si="33"/>
        <v/>
      </c>
      <c r="G299" s="162"/>
      <c r="H299" s="162"/>
      <c r="I299" s="162"/>
      <c r="J299" s="164" t="str">
        <f t="shared" si="29"/>
        <v/>
      </c>
      <c r="K299" s="165" t="str">
        <f t="shared" si="30"/>
        <v/>
      </c>
      <c r="L299" s="165" t="str">
        <f t="shared" si="34"/>
        <v/>
      </c>
      <c r="M299" s="166" t="str">
        <f t="shared" si="31"/>
        <v/>
      </c>
      <c r="N299" s="167" t="str">
        <f t="shared" si="32"/>
        <v/>
      </c>
    </row>
    <row r="300" spans="1:14" ht="18" x14ac:dyDescent="0.35">
      <c r="A300" t="str">
        <f>IFERROR(B300&amp;" "&amp;COUNTIFS($B$4:B300,B300),"")</f>
        <v xml:space="preserve"> 0</v>
      </c>
      <c r="B300" s="169"/>
      <c r="C300" s="162"/>
      <c r="D300" s="162"/>
      <c r="E300" s="162"/>
      <c r="F300" s="163" t="str">
        <f t="shared" si="33"/>
        <v/>
      </c>
      <c r="G300" s="162"/>
      <c r="H300" s="162"/>
      <c r="I300" s="162"/>
      <c r="J300" s="164" t="str">
        <f t="shared" si="29"/>
        <v/>
      </c>
      <c r="K300" s="165" t="str">
        <f t="shared" si="30"/>
        <v/>
      </c>
      <c r="L300" s="165" t="str">
        <f t="shared" si="34"/>
        <v/>
      </c>
      <c r="M300" s="166" t="str">
        <f t="shared" si="31"/>
        <v/>
      </c>
      <c r="N300" s="167" t="str">
        <f t="shared" si="32"/>
        <v/>
      </c>
    </row>
    <row r="301" spans="1:14" ht="18" x14ac:dyDescent="0.35">
      <c r="A301" t="str">
        <f>IFERROR(B301&amp;" "&amp;COUNTIFS($B$4:B301,B301),"")</f>
        <v xml:space="preserve"> 0</v>
      </c>
      <c r="B301" s="169"/>
      <c r="C301" s="162"/>
      <c r="D301" s="162"/>
      <c r="E301" s="162"/>
      <c r="F301" s="163" t="str">
        <f t="shared" si="33"/>
        <v/>
      </c>
      <c r="G301" s="162"/>
      <c r="H301" s="162"/>
      <c r="I301" s="162"/>
      <c r="J301" s="164" t="str">
        <f t="shared" si="29"/>
        <v/>
      </c>
      <c r="K301" s="165" t="str">
        <f t="shared" si="30"/>
        <v/>
      </c>
      <c r="L301" s="165" t="str">
        <f t="shared" si="34"/>
        <v/>
      </c>
      <c r="M301" s="166" t="str">
        <f t="shared" si="31"/>
        <v/>
      </c>
      <c r="N301" s="167" t="str">
        <f t="shared" si="32"/>
        <v/>
      </c>
    </row>
    <row r="302" spans="1:14" ht="18" x14ac:dyDescent="0.35">
      <c r="A302" t="str">
        <f>IFERROR(B302&amp;" "&amp;COUNTIFS($B$4:B302,B302),"")</f>
        <v xml:space="preserve"> 0</v>
      </c>
      <c r="B302" s="169"/>
      <c r="C302" s="162"/>
      <c r="D302" s="162"/>
      <c r="E302" s="162"/>
      <c r="F302" s="163" t="str">
        <f t="shared" si="33"/>
        <v/>
      </c>
      <c r="G302" s="162"/>
      <c r="H302" s="162"/>
      <c r="I302" s="162"/>
      <c r="J302" s="164" t="str">
        <f t="shared" si="29"/>
        <v/>
      </c>
      <c r="K302" s="165" t="str">
        <f t="shared" si="30"/>
        <v/>
      </c>
      <c r="L302" s="165" t="str">
        <f t="shared" si="34"/>
        <v/>
      </c>
      <c r="M302" s="166" t="str">
        <f t="shared" si="31"/>
        <v/>
      </c>
      <c r="N302" s="167" t="str">
        <f t="shared" si="32"/>
        <v/>
      </c>
    </row>
    <row r="303" spans="1:14" ht="18" x14ac:dyDescent="0.35">
      <c r="A303" t="str">
        <f>IFERROR(B303&amp;" "&amp;COUNTIFS($B$4:B303,B303),"")</f>
        <v xml:space="preserve"> 0</v>
      </c>
      <c r="B303" s="169"/>
      <c r="C303" s="162"/>
      <c r="D303" s="162"/>
      <c r="E303" s="162"/>
      <c r="F303" s="163" t="str">
        <f t="shared" si="33"/>
        <v/>
      </c>
      <c r="G303" s="162"/>
      <c r="H303" s="162"/>
      <c r="I303" s="162"/>
      <c r="J303" s="164" t="str">
        <f t="shared" si="29"/>
        <v/>
      </c>
      <c r="K303" s="165" t="str">
        <f t="shared" si="30"/>
        <v/>
      </c>
      <c r="L303" s="165" t="str">
        <f t="shared" si="34"/>
        <v/>
      </c>
      <c r="M303" s="166" t="str">
        <f t="shared" si="31"/>
        <v/>
      </c>
      <c r="N303" s="167" t="str">
        <f t="shared" si="32"/>
        <v/>
      </c>
    </row>
    <row r="304" spans="1:14" ht="18" x14ac:dyDescent="0.35">
      <c r="A304" t="str">
        <f>IFERROR(B304&amp;" "&amp;COUNTIFS($B$4:B304,B304),"")</f>
        <v xml:space="preserve"> 0</v>
      </c>
      <c r="B304" s="169"/>
      <c r="C304" s="162"/>
      <c r="D304" s="162"/>
      <c r="E304" s="162"/>
      <c r="F304" s="163" t="str">
        <f t="shared" si="33"/>
        <v/>
      </c>
      <c r="G304" s="162"/>
      <c r="H304" s="162"/>
      <c r="I304" s="162"/>
      <c r="J304" s="164" t="str">
        <f t="shared" si="29"/>
        <v/>
      </c>
      <c r="K304" s="165" t="str">
        <f t="shared" si="30"/>
        <v/>
      </c>
      <c r="L304" s="165" t="str">
        <f t="shared" si="34"/>
        <v/>
      </c>
      <c r="M304" s="166" t="str">
        <f t="shared" si="31"/>
        <v/>
      </c>
      <c r="N304" s="167" t="str">
        <f t="shared" si="32"/>
        <v/>
      </c>
    </row>
    <row r="305" spans="1:14" ht="18" x14ac:dyDescent="0.35">
      <c r="A305" t="str">
        <f>IFERROR(B305&amp;" "&amp;COUNTIFS($B$4:B305,B305),"")</f>
        <v xml:space="preserve"> 0</v>
      </c>
      <c r="B305" s="169"/>
      <c r="C305" s="162"/>
      <c r="D305" s="162"/>
      <c r="E305" s="162"/>
      <c r="F305" s="163" t="str">
        <f t="shared" si="33"/>
        <v/>
      </c>
      <c r="G305" s="162"/>
      <c r="H305" s="162"/>
      <c r="I305" s="162"/>
      <c r="J305" s="164" t="str">
        <f t="shared" si="29"/>
        <v/>
      </c>
      <c r="K305" s="165" t="str">
        <f t="shared" si="30"/>
        <v/>
      </c>
      <c r="L305" s="165" t="str">
        <f t="shared" si="34"/>
        <v/>
      </c>
      <c r="M305" s="166" t="str">
        <f t="shared" si="31"/>
        <v/>
      </c>
      <c r="N305" s="167" t="str">
        <f t="shared" si="32"/>
        <v/>
      </c>
    </row>
    <row r="306" spans="1:14" ht="18" x14ac:dyDescent="0.35">
      <c r="A306" t="str">
        <f>IFERROR(B306&amp;" "&amp;COUNTIFS($B$4:B306,B306),"")</f>
        <v xml:space="preserve"> 0</v>
      </c>
      <c r="B306" s="169"/>
      <c r="C306" s="162"/>
      <c r="D306" s="162"/>
      <c r="E306" s="162"/>
      <c r="F306" s="163" t="str">
        <f t="shared" si="33"/>
        <v/>
      </c>
      <c r="G306" s="162"/>
      <c r="H306" s="162"/>
      <c r="I306" s="162"/>
      <c r="J306" s="164" t="str">
        <f t="shared" si="29"/>
        <v/>
      </c>
      <c r="K306" s="165" t="str">
        <f t="shared" si="30"/>
        <v/>
      </c>
      <c r="L306" s="165" t="str">
        <f t="shared" si="34"/>
        <v/>
      </c>
      <c r="M306" s="166" t="str">
        <f t="shared" si="31"/>
        <v/>
      </c>
      <c r="N306" s="167" t="str">
        <f t="shared" si="32"/>
        <v/>
      </c>
    </row>
    <row r="307" spans="1:14" ht="18" x14ac:dyDescent="0.35">
      <c r="A307" t="str">
        <f>IFERROR(B307&amp;" "&amp;COUNTIFS($B$4:B307,B307),"")</f>
        <v xml:space="preserve"> 0</v>
      </c>
      <c r="B307" s="169"/>
      <c r="C307" s="162"/>
      <c r="D307" s="162"/>
      <c r="E307" s="162"/>
      <c r="F307" s="163" t="str">
        <f t="shared" si="33"/>
        <v/>
      </c>
      <c r="G307" s="162"/>
      <c r="H307" s="162"/>
      <c r="I307" s="162"/>
      <c r="J307" s="164" t="str">
        <f t="shared" si="29"/>
        <v/>
      </c>
      <c r="K307" s="165" t="str">
        <f t="shared" si="30"/>
        <v/>
      </c>
      <c r="L307" s="165" t="str">
        <f t="shared" si="34"/>
        <v/>
      </c>
      <c r="M307" s="166" t="str">
        <f t="shared" si="31"/>
        <v/>
      </c>
      <c r="N307" s="167" t="str">
        <f t="shared" si="32"/>
        <v/>
      </c>
    </row>
    <row r="308" spans="1:14" ht="18" x14ac:dyDescent="0.35">
      <c r="A308" t="str">
        <f>IFERROR(B308&amp;" "&amp;COUNTIFS($B$4:B308,B308),"")</f>
        <v xml:space="preserve"> 0</v>
      </c>
      <c r="B308" s="169"/>
      <c r="C308" s="162"/>
      <c r="D308" s="162"/>
      <c r="E308" s="162"/>
      <c r="F308" s="163" t="str">
        <f t="shared" si="33"/>
        <v/>
      </c>
      <c r="G308" s="162"/>
      <c r="H308" s="162"/>
      <c r="I308" s="162"/>
      <c r="J308" s="164" t="str">
        <f t="shared" si="29"/>
        <v/>
      </c>
      <c r="K308" s="165" t="str">
        <f t="shared" si="30"/>
        <v/>
      </c>
      <c r="L308" s="165" t="str">
        <f t="shared" si="34"/>
        <v/>
      </c>
      <c r="M308" s="166" t="str">
        <f t="shared" si="31"/>
        <v/>
      </c>
      <c r="N308" s="167" t="str">
        <f t="shared" si="32"/>
        <v/>
      </c>
    </row>
    <row r="309" spans="1:14" ht="18" x14ac:dyDescent="0.35">
      <c r="A309" t="str">
        <f>IFERROR(B309&amp;" "&amp;COUNTIFS($B$4:B309,B309),"")</f>
        <v xml:space="preserve"> 0</v>
      </c>
      <c r="B309" s="169"/>
      <c r="C309" s="162"/>
      <c r="D309" s="162"/>
      <c r="E309" s="162"/>
      <c r="F309" s="163" t="str">
        <f t="shared" si="33"/>
        <v/>
      </c>
      <c r="G309" s="162"/>
      <c r="H309" s="162"/>
      <c r="I309" s="162"/>
      <c r="J309" s="164" t="str">
        <f t="shared" si="29"/>
        <v/>
      </c>
      <c r="K309" s="165" t="str">
        <f t="shared" si="30"/>
        <v/>
      </c>
      <c r="L309" s="165" t="str">
        <f t="shared" si="34"/>
        <v/>
      </c>
      <c r="M309" s="166" t="str">
        <f t="shared" si="31"/>
        <v/>
      </c>
      <c r="N309" s="167" t="str">
        <f t="shared" si="32"/>
        <v/>
      </c>
    </row>
    <row r="310" spans="1:14" ht="18" x14ac:dyDescent="0.35">
      <c r="A310" t="str">
        <f>IFERROR(B310&amp;" "&amp;COUNTIFS($B$4:B310,B310),"")</f>
        <v xml:space="preserve"> 0</v>
      </c>
      <c r="B310" s="169"/>
      <c r="C310" s="162"/>
      <c r="D310" s="162"/>
      <c r="E310" s="162"/>
      <c r="F310" s="163" t="str">
        <f t="shared" si="33"/>
        <v/>
      </c>
      <c r="G310" s="162"/>
      <c r="H310" s="162"/>
      <c r="I310" s="162"/>
      <c r="J310" s="164" t="str">
        <f t="shared" si="29"/>
        <v/>
      </c>
      <c r="K310" s="165" t="str">
        <f t="shared" si="30"/>
        <v/>
      </c>
      <c r="L310" s="165" t="str">
        <f t="shared" si="34"/>
        <v/>
      </c>
      <c r="M310" s="166" t="str">
        <f t="shared" si="31"/>
        <v/>
      </c>
      <c r="N310" s="167" t="str">
        <f t="shared" si="32"/>
        <v/>
      </c>
    </row>
    <row r="311" spans="1:14" ht="18" x14ac:dyDescent="0.35">
      <c r="A311" t="str">
        <f>IFERROR(B311&amp;" "&amp;COUNTIFS($B$4:B311,B311),"")</f>
        <v xml:space="preserve"> 0</v>
      </c>
      <c r="B311" s="169"/>
      <c r="C311" s="162"/>
      <c r="D311" s="162"/>
      <c r="E311" s="162"/>
      <c r="F311" s="163" t="str">
        <f t="shared" si="33"/>
        <v/>
      </c>
      <c r="G311" s="162"/>
      <c r="H311" s="162"/>
      <c r="I311" s="162"/>
      <c r="J311" s="164" t="str">
        <f t="shared" si="29"/>
        <v/>
      </c>
      <c r="K311" s="165" t="str">
        <f t="shared" si="30"/>
        <v/>
      </c>
      <c r="L311" s="165" t="str">
        <f t="shared" si="34"/>
        <v/>
      </c>
      <c r="M311" s="166" t="str">
        <f t="shared" si="31"/>
        <v/>
      </c>
      <c r="N311" s="167" t="str">
        <f t="shared" si="32"/>
        <v/>
      </c>
    </row>
    <row r="312" spans="1:14" ht="18" x14ac:dyDescent="0.35">
      <c r="A312" t="str">
        <f>IFERROR(B312&amp;" "&amp;COUNTIFS($B$4:B312,B312),"")</f>
        <v xml:space="preserve"> 0</v>
      </c>
      <c r="B312" s="169"/>
      <c r="C312" s="162"/>
      <c r="D312" s="162"/>
      <c r="E312" s="162"/>
      <c r="F312" s="163" t="str">
        <f t="shared" si="33"/>
        <v/>
      </c>
      <c r="G312" s="162"/>
      <c r="H312" s="162"/>
      <c r="I312" s="162"/>
      <c r="J312" s="164" t="str">
        <f t="shared" si="29"/>
        <v/>
      </c>
      <c r="K312" s="165" t="str">
        <f t="shared" si="30"/>
        <v/>
      </c>
      <c r="L312" s="165" t="str">
        <f t="shared" si="34"/>
        <v/>
      </c>
      <c r="M312" s="166" t="str">
        <f t="shared" si="31"/>
        <v/>
      </c>
      <c r="N312" s="167" t="str">
        <f t="shared" si="32"/>
        <v/>
      </c>
    </row>
    <row r="313" spans="1:14" ht="18" x14ac:dyDescent="0.35">
      <c r="A313" t="str">
        <f>IFERROR(B313&amp;" "&amp;COUNTIFS($B$4:B313,B313),"")</f>
        <v xml:space="preserve"> 0</v>
      </c>
      <c r="B313" s="169"/>
      <c r="C313" s="162"/>
      <c r="D313" s="162"/>
      <c r="E313" s="162"/>
      <c r="F313" s="163" t="str">
        <f t="shared" si="33"/>
        <v/>
      </c>
      <c r="G313" s="162"/>
      <c r="H313" s="162"/>
      <c r="I313" s="162"/>
      <c r="J313" s="164" t="str">
        <f t="shared" si="29"/>
        <v/>
      </c>
      <c r="K313" s="165" t="str">
        <f t="shared" si="30"/>
        <v/>
      </c>
      <c r="L313" s="165" t="str">
        <f t="shared" si="34"/>
        <v/>
      </c>
      <c r="M313" s="166" t="str">
        <f t="shared" si="31"/>
        <v/>
      </c>
      <c r="N313" s="167" t="str">
        <f t="shared" si="32"/>
        <v/>
      </c>
    </row>
    <row r="314" spans="1:14" ht="18" x14ac:dyDescent="0.35">
      <c r="A314" t="str">
        <f>IFERROR(B314&amp;" "&amp;COUNTIFS($B$4:B314,B314),"")</f>
        <v xml:space="preserve"> 0</v>
      </c>
      <c r="B314" s="169"/>
      <c r="C314" s="162"/>
      <c r="D314" s="162"/>
      <c r="E314" s="162"/>
      <c r="F314" s="163" t="str">
        <f t="shared" si="33"/>
        <v/>
      </c>
      <c r="G314" s="162"/>
      <c r="H314" s="162"/>
      <c r="I314" s="162"/>
      <c r="J314" s="164" t="str">
        <f t="shared" si="29"/>
        <v/>
      </c>
      <c r="K314" s="165" t="str">
        <f t="shared" si="30"/>
        <v/>
      </c>
      <c r="L314" s="165" t="str">
        <f t="shared" si="34"/>
        <v/>
      </c>
      <c r="M314" s="166" t="str">
        <f t="shared" si="31"/>
        <v/>
      </c>
      <c r="N314" s="167" t="str">
        <f t="shared" si="32"/>
        <v/>
      </c>
    </row>
    <row r="315" spans="1:14" ht="18" x14ac:dyDescent="0.35">
      <c r="A315" t="str">
        <f>IFERROR(B315&amp;" "&amp;COUNTIFS($B$4:B315,B315),"")</f>
        <v xml:space="preserve"> 0</v>
      </c>
      <c r="B315" s="169"/>
      <c r="C315" s="162"/>
      <c r="D315" s="162"/>
      <c r="E315" s="162"/>
      <c r="F315" s="163" t="str">
        <f t="shared" si="33"/>
        <v/>
      </c>
      <c r="G315" s="162"/>
      <c r="H315" s="162"/>
      <c r="I315" s="162"/>
      <c r="J315" s="164" t="str">
        <f t="shared" ref="J315:J378" si="35">IFERROR(VLOOKUP(B315,data_kas3,12,FALSE),"")</f>
        <v/>
      </c>
      <c r="K315" s="165" t="str">
        <f t="shared" ref="K315:K378" si="36">IFERROR(VLOOKUP(B315,data_kas3,3,FALSE),"")</f>
        <v/>
      </c>
      <c r="L315" s="165" t="str">
        <f t="shared" si="34"/>
        <v/>
      </c>
      <c r="M315" s="166" t="str">
        <f t="shared" ref="M315:M378" si="37">IFERROR(VLOOKUP(B315,data_kas3,5,FALSE),"")</f>
        <v/>
      </c>
      <c r="N315" s="167" t="str">
        <f t="shared" si="32"/>
        <v/>
      </c>
    </row>
    <row r="316" spans="1:14" ht="18" x14ac:dyDescent="0.35">
      <c r="A316" t="str">
        <f>IFERROR(B316&amp;" "&amp;COUNTIFS($B$4:B316,B316),"")</f>
        <v xml:space="preserve"> 0</v>
      </c>
      <c r="B316" s="169"/>
      <c r="C316" s="162"/>
      <c r="D316" s="162"/>
      <c r="E316" s="162"/>
      <c r="F316" s="163" t="str">
        <f t="shared" si="33"/>
        <v/>
      </c>
      <c r="G316" s="162"/>
      <c r="H316" s="162"/>
      <c r="I316" s="162"/>
      <c r="J316" s="164" t="str">
        <f t="shared" si="35"/>
        <v/>
      </c>
      <c r="K316" s="165" t="str">
        <f t="shared" si="36"/>
        <v/>
      </c>
      <c r="L316" s="165" t="str">
        <f t="shared" si="34"/>
        <v/>
      </c>
      <c r="M316" s="166" t="str">
        <f t="shared" si="37"/>
        <v/>
      </c>
      <c r="N316" s="167" t="str">
        <f t="shared" ref="N316:N379" si="38">IF(K316="","",K316*M316)</f>
        <v/>
      </c>
    </row>
    <row r="317" spans="1:14" ht="18" x14ac:dyDescent="0.35">
      <c r="A317" t="str">
        <f>IFERROR(B317&amp;" "&amp;COUNTIFS($B$4:B317,B317),"")</f>
        <v xml:space="preserve"> 0</v>
      </c>
      <c r="B317" s="169"/>
      <c r="C317" s="162"/>
      <c r="D317" s="162"/>
      <c r="E317" s="162"/>
      <c r="F317" s="163" t="str">
        <f t="shared" si="33"/>
        <v/>
      </c>
      <c r="G317" s="162"/>
      <c r="H317" s="162"/>
      <c r="I317" s="162"/>
      <c r="J317" s="164" t="str">
        <f t="shared" si="35"/>
        <v/>
      </c>
      <c r="K317" s="165" t="str">
        <f t="shared" si="36"/>
        <v/>
      </c>
      <c r="L317" s="165" t="str">
        <f t="shared" si="34"/>
        <v/>
      </c>
      <c r="M317" s="166" t="str">
        <f t="shared" si="37"/>
        <v/>
      </c>
      <c r="N317" s="167" t="str">
        <f t="shared" si="38"/>
        <v/>
      </c>
    </row>
    <row r="318" spans="1:14" ht="18" x14ac:dyDescent="0.35">
      <c r="A318" t="str">
        <f>IFERROR(B318&amp;" "&amp;COUNTIFS($B$4:B318,B318),"")</f>
        <v xml:space="preserve"> 0</v>
      </c>
      <c r="B318" s="169"/>
      <c r="C318" s="162"/>
      <c r="D318" s="162"/>
      <c r="E318" s="162"/>
      <c r="F318" s="163" t="str">
        <f t="shared" si="33"/>
        <v/>
      </c>
      <c r="G318" s="162"/>
      <c r="H318" s="162"/>
      <c r="I318" s="162"/>
      <c r="J318" s="164" t="str">
        <f t="shared" si="35"/>
        <v/>
      </c>
      <c r="K318" s="165" t="str">
        <f t="shared" si="36"/>
        <v/>
      </c>
      <c r="L318" s="165" t="str">
        <f t="shared" si="34"/>
        <v/>
      </c>
      <c r="M318" s="166" t="str">
        <f t="shared" si="37"/>
        <v/>
      </c>
      <c r="N318" s="167" t="str">
        <f t="shared" si="38"/>
        <v/>
      </c>
    </row>
    <row r="319" spans="1:14" ht="18" x14ac:dyDescent="0.35">
      <c r="A319" t="str">
        <f>IFERROR(B319&amp;" "&amp;COUNTIFS($B$4:B319,B319),"")</f>
        <v xml:space="preserve"> 0</v>
      </c>
      <c r="B319" s="169"/>
      <c r="C319" s="162"/>
      <c r="D319" s="162"/>
      <c r="E319" s="162"/>
      <c r="F319" s="163" t="str">
        <f t="shared" si="33"/>
        <v/>
      </c>
      <c r="G319" s="162"/>
      <c r="H319" s="162"/>
      <c r="I319" s="162"/>
      <c r="J319" s="164" t="str">
        <f t="shared" si="35"/>
        <v/>
      </c>
      <c r="K319" s="165" t="str">
        <f t="shared" si="36"/>
        <v/>
      </c>
      <c r="L319" s="165" t="str">
        <f t="shared" si="34"/>
        <v/>
      </c>
      <c r="M319" s="166" t="str">
        <f t="shared" si="37"/>
        <v/>
      </c>
      <c r="N319" s="167" t="str">
        <f t="shared" si="38"/>
        <v/>
      </c>
    </row>
    <row r="320" spans="1:14" ht="18" x14ac:dyDescent="0.35">
      <c r="A320" t="str">
        <f>IFERROR(B320&amp;" "&amp;COUNTIFS($B$4:B320,B320),"")</f>
        <v xml:space="preserve"> 0</v>
      </c>
      <c r="B320" s="169"/>
      <c r="C320" s="162"/>
      <c r="D320" s="162"/>
      <c r="E320" s="162"/>
      <c r="F320" s="163" t="str">
        <f t="shared" si="33"/>
        <v/>
      </c>
      <c r="G320" s="162"/>
      <c r="H320" s="162"/>
      <c r="I320" s="162"/>
      <c r="J320" s="164" t="str">
        <f t="shared" si="35"/>
        <v/>
      </c>
      <c r="K320" s="165" t="str">
        <f t="shared" si="36"/>
        <v/>
      </c>
      <c r="L320" s="165" t="str">
        <f t="shared" si="34"/>
        <v/>
      </c>
      <c r="M320" s="166" t="str">
        <f t="shared" si="37"/>
        <v/>
      </c>
      <c r="N320" s="167" t="str">
        <f t="shared" si="38"/>
        <v/>
      </c>
    </row>
    <row r="321" spans="1:14" ht="18" x14ac:dyDescent="0.35">
      <c r="A321" t="str">
        <f>IFERROR(B321&amp;" "&amp;COUNTIFS($B$4:B321,B321),"")</f>
        <v xml:space="preserve"> 0</v>
      </c>
      <c r="B321" s="169"/>
      <c r="C321" s="162"/>
      <c r="D321" s="162"/>
      <c r="E321" s="162"/>
      <c r="F321" s="163" t="str">
        <f t="shared" si="33"/>
        <v/>
      </c>
      <c r="G321" s="162"/>
      <c r="H321" s="162"/>
      <c r="I321" s="162"/>
      <c r="J321" s="164" t="str">
        <f t="shared" si="35"/>
        <v/>
      </c>
      <c r="K321" s="165" t="str">
        <f t="shared" si="36"/>
        <v/>
      </c>
      <c r="L321" s="165" t="str">
        <f t="shared" si="34"/>
        <v/>
      </c>
      <c r="M321" s="166" t="str">
        <f t="shared" si="37"/>
        <v/>
      </c>
      <c r="N321" s="167" t="str">
        <f t="shared" si="38"/>
        <v/>
      </c>
    </row>
    <row r="322" spans="1:14" ht="18" x14ac:dyDescent="0.35">
      <c r="A322" t="str">
        <f>IFERROR(B322&amp;" "&amp;COUNTIFS($B$4:B322,B322),"")</f>
        <v xml:space="preserve"> 0</v>
      </c>
      <c r="B322" s="169"/>
      <c r="C322" s="162"/>
      <c r="D322" s="162"/>
      <c r="E322" s="162"/>
      <c r="F322" s="163" t="str">
        <f t="shared" si="33"/>
        <v/>
      </c>
      <c r="G322" s="162"/>
      <c r="H322" s="162"/>
      <c r="I322" s="162"/>
      <c r="J322" s="164" t="str">
        <f t="shared" si="35"/>
        <v/>
      </c>
      <c r="K322" s="165" t="str">
        <f t="shared" si="36"/>
        <v/>
      </c>
      <c r="L322" s="165" t="str">
        <f t="shared" si="34"/>
        <v/>
      </c>
      <c r="M322" s="166" t="str">
        <f t="shared" si="37"/>
        <v/>
      </c>
      <c r="N322" s="167" t="str">
        <f t="shared" si="38"/>
        <v/>
      </c>
    </row>
    <row r="323" spans="1:14" ht="18" x14ac:dyDescent="0.35">
      <c r="A323" t="str">
        <f>IFERROR(B323&amp;" "&amp;COUNTIFS($B$4:B323,B323),"")</f>
        <v xml:space="preserve"> 0</v>
      </c>
      <c r="B323" s="169"/>
      <c r="C323" s="162"/>
      <c r="D323" s="162"/>
      <c r="E323" s="162"/>
      <c r="F323" s="163" t="str">
        <f t="shared" si="33"/>
        <v/>
      </c>
      <c r="G323" s="162"/>
      <c r="H323" s="162"/>
      <c r="I323" s="162"/>
      <c r="J323" s="164" t="str">
        <f t="shared" si="35"/>
        <v/>
      </c>
      <c r="K323" s="165" t="str">
        <f t="shared" si="36"/>
        <v/>
      </c>
      <c r="L323" s="165" t="str">
        <f t="shared" si="34"/>
        <v/>
      </c>
      <c r="M323" s="166" t="str">
        <f t="shared" si="37"/>
        <v/>
      </c>
      <c r="N323" s="167" t="str">
        <f t="shared" si="38"/>
        <v/>
      </c>
    </row>
    <row r="324" spans="1:14" ht="18" x14ac:dyDescent="0.35">
      <c r="A324" t="str">
        <f>IFERROR(B324&amp;" "&amp;COUNTIFS($B$4:B324,B324),"")</f>
        <v xml:space="preserve"> 0</v>
      </c>
      <c r="B324" s="169"/>
      <c r="C324" s="162"/>
      <c r="D324" s="162"/>
      <c r="E324" s="162"/>
      <c r="F324" s="163" t="str">
        <f t="shared" ref="F324:F387" si="39">IFERROR(VLOOKUP(E324,data_guru,3,FALSE),"")</f>
        <v/>
      </c>
      <c r="G324" s="162"/>
      <c r="H324" s="162"/>
      <c r="I324" s="162"/>
      <c r="J324" s="164" t="str">
        <f t="shared" si="35"/>
        <v/>
      </c>
      <c r="K324" s="165" t="str">
        <f t="shared" si="36"/>
        <v/>
      </c>
      <c r="L324" s="165" t="str">
        <f t="shared" ref="L324:L387" si="40">IFERROR(VLOOKUP(B324,data_kas3,4,FALSE),"")</f>
        <v/>
      </c>
      <c r="M324" s="166" t="str">
        <f t="shared" si="37"/>
        <v/>
      </c>
      <c r="N324" s="167" t="str">
        <f t="shared" si="38"/>
        <v/>
      </c>
    </row>
    <row r="325" spans="1:14" ht="18" x14ac:dyDescent="0.35">
      <c r="A325" t="str">
        <f>IFERROR(B325&amp;" "&amp;COUNTIFS($B$4:B325,B325),"")</f>
        <v xml:space="preserve"> 0</v>
      </c>
      <c r="B325" s="169"/>
      <c r="C325" s="162"/>
      <c r="D325" s="162"/>
      <c r="E325" s="162"/>
      <c r="F325" s="163" t="str">
        <f t="shared" si="39"/>
        <v/>
      </c>
      <c r="G325" s="162"/>
      <c r="H325" s="162"/>
      <c r="I325" s="162"/>
      <c r="J325" s="164" t="str">
        <f t="shared" si="35"/>
        <v/>
      </c>
      <c r="K325" s="165" t="str">
        <f t="shared" si="36"/>
        <v/>
      </c>
      <c r="L325" s="165" t="str">
        <f t="shared" si="40"/>
        <v/>
      </c>
      <c r="M325" s="166" t="str">
        <f t="shared" si="37"/>
        <v/>
      </c>
      <c r="N325" s="167" t="str">
        <f t="shared" si="38"/>
        <v/>
      </c>
    </row>
    <row r="326" spans="1:14" ht="18" x14ac:dyDescent="0.35">
      <c r="A326" t="str">
        <f>IFERROR(B326&amp;" "&amp;COUNTIFS($B$4:B326,B326),"")</f>
        <v xml:space="preserve"> 0</v>
      </c>
      <c r="B326" s="169"/>
      <c r="C326" s="162"/>
      <c r="D326" s="162"/>
      <c r="E326" s="162"/>
      <c r="F326" s="163" t="str">
        <f t="shared" si="39"/>
        <v/>
      </c>
      <c r="G326" s="162"/>
      <c r="H326" s="162"/>
      <c r="I326" s="162"/>
      <c r="J326" s="164" t="str">
        <f t="shared" si="35"/>
        <v/>
      </c>
      <c r="K326" s="165" t="str">
        <f t="shared" si="36"/>
        <v/>
      </c>
      <c r="L326" s="165" t="str">
        <f t="shared" si="40"/>
        <v/>
      </c>
      <c r="M326" s="166" t="str">
        <f t="shared" si="37"/>
        <v/>
      </c>
      <c r="N326" s="167" t="str">
        <f t="shared" si="38"/>
        <v/>
      </c>
    </row>
    <row r="327" spans="1:14" ht="18" x14ac:dyDescent="0.35">
      <c r="A327" t="str">
        <f>IFERROR(B327&amp;" "&amp;COUNTIFS($B$4:B327,B327),"")</f>
        <v xml:space="preserve"> 0</v>
      </c>
      <c r="B327" s="169"/>
      <c r="C327" s="162"/>
      <c r="D327" s="162"/>
      <c r="E327" s="162"/>
      <c r="F327" s="163" t="str">
        <f t="shared" si="39"/>
        <v/>
      </c>
      <c r="G327" s="162"/>
      <c r="H327" s="162"/>
      <c r="I327" s="162"/>
      <c r="J327" s="164" t="str">
        <f t="shared" si="35"/>
        <v/>
      </c>
      <c r="K327" s="165" t="str">
        <f t="shared" si="36"/>
        <v/>
      </c>
      <c r="L327" s="165" t="str">
        <f t="shared" si="40"/>
        <v/>
      </c>
      <c r="M327" s="166" t="str">
        <f t="shared" si="37"/>
        <v/>
      </c>
      <c r="N327" s="167" t="str">
        <f t="shared" si="38"/>
        <v/>
      </c>
    </row>
    <row r="328" spans="1:14" ht="18" x14ac:dyDescent="0.35">
      <c r="A328" t="str">
        <f>IFERROR(B328&amp;" "&amp;COUNTIFS($B$4:B328,B328),"")</f>
        <v xml:space="preserve"> 0</v>
      </c>
      <c r="B328" s="169"/>
      <c r="C328" s="162"/>
      <c r="D328" s="162"/>
      <c r="E328" s="162"/>
      <c r="F328" s="163" t="str">
        <f t="shared" si="39"/>
        <v/>
      </c>
      <c r="G328" s="162"/>
      <c r="H328" s="162"/>
      <c r="I328" s="162"/>
      <c r="J328" s="164" t="str">
        <f t="shared" si="35"/>
        <v/>
      </c>
      <c r="K328" s="165" t="str">
        <f t="shared" si="36"/>
        <v/>
      </c>
      <c r="L328" s="165" t="str">
        <f t="shared" si="40"/>
        <v/>
      </c>
      <c r="M328" s="166" t="str">
        <f t="shared" si="37"/>
        <v/>
      </c>
      <c r="N328" s="167" t="str">
        <f t="shared" si="38"/>
        <v/>
      </c>
    </row>
    <row r="329" spans="1:14" ht="18" x14ac:dyDescent="0.35">
      <c r="A329" t="str">
        <f>IFERROR(B329&amp;" "&amp;COUNTIFS($B$4:B329,B329),"")</f>
        <v xml:space="preserve"> 0</v>
      </c>
      <c r="B329" s="169"/>
      <c r="C329" s="162"/>
      <c r="D329" s="162"/>
      <c r="E329" s="162"/>
      <c r="F329" s="163" t="str">
        <f t="shared" si="39"/>
        <v/>
      </c>
      <c r="G329" s="162"/>
      <c r="H329" s="162"/>
      <c r="I329" s="162"/>
      <c r="J329" s="164" t="str">
        <f t="shared" si="35"/>
        <v/>
      </c>
      <c r="K329" s="165" t="str">
        <f t="shared" si="36"/>
        <v/>
      </c>
      <c r="L329" s="165" t="str">
        <f t="shared" si="40"/>
        <v/>
      </c>
      <c r="M329" s="166" t="str">
        <f t="shared" si="37"/>
        <v/>
      </c>
      <c r="N329" s="167" t="str">
        <f t="shared" si="38"/>
        <v/>
      </c>
    </row>
    <row r="330" spans="1:14" ht="18" x14ac:dyDescent="0.35">
      <c r="A330" t="str">
        <f>IFERROR(B330&amp;" "&amp;COUNTIFS($B$4:B330,B330),"")</f>
        <v xml:space="preserve"> 0</v>
      </c>
      <c r="B330" s="169"/>
      <c r="C330" s="162"/>
      <c r="D330" s="162"/>
      <c r="E330" s="162"/>
      <c r="F330" s="163" t="str">
        <f t="shared" si="39"/>
        <v/>
      </c>
      <c r="G330" s="162"/>
      <c r="H330" s="162"/>
      <c r="I330" s="162"/>
      <c r="J330" s="164" t="str">
        <f t="shared" si="35"/>
        <v/>
      </c>
      <c r="K330" s="165" t="str">
        <f t="shared" si="36"/>
        <v/>
      </c>
      <c r="L330" s="165" t="str">
        <f t="shared" si="40"/>
        <v/>
      </c>
      <c r="M330" s="166" t="str">
        <f t="shared" si="37"/>
        <v/>
      </c>
      <c r="N330" s="167" t="str">
        <f t="shared" si="38"/>
        <v/>
      </c>
    </row>
    <row r="331" spans="1:14" ht="18" x14ac:dyDescent="0.35">
      <c r="A331" t="str">
        <f>IFERROR(B331&amp;" "&amp;COUNTIFS($B$4:B331,B331),"")</f>
        <v xml:space="preserve"> 0</v>
      </c>
      <c r="B331" s="169"/>
      <c r="C331" s="162"/>
      <c r="D331" s="162"/>
      <c r="E331" s="162"/>
      <c r="F331" s="163" t="str">
        <f t="shared" si="39"/>
        <v/>
      </c>
      <c r="G331" s="162"/>
      <c r="H331" s="162"/>
      <c r="I331" s="162"/>
      <c r="J331" s="164" t="str">
        <f t="shared" si="35"/>
        <v/>
      </c>
      <c r="K331" s="165" t="str">
        <f t="shared" si="36"/>
        <v/>
      </c>
      <c r="L331" s="165" t="str">
        <f t="shared" si="40"/>
        <v/>
      </c>
      <c r="M331" s="166" t="str">
        <f t="shared" si="37"/>
        <v/>
      </c>
      <c r="N331" s="167" t="str">
        <f t="shared" si="38"/>
        <v/>
      </c>
    </row>
    <row r="332" spans="1:14" ht="18" x14ac:dyDescent="0.35">
      <c r="A332" t="str">
        <f>IFERROR(B332&amp;" "&amp;COUNTIFS($B$4:B332,B332),"")</f>
        <v xml:space="preserve"> 0</v>
      </c>
      <c r="B332" s="169"/>
      <c r="C332" s="162"/>
      <c r="D332" s="162"/>
      <c r="E332" s="162"/>
      <c r="F332" s="163" t="str">
        <f t="shared" si="39"/>
        <v/>
      </c>
      <c r="G332" s="162"/>
      <c r="H332" s="162"/>
      <c r="I332" s="162"/>
      <c r="J332" s="164" t="str">
        <f t="shared" si="35"/>
        <v/>
      </c>
      <c r="K332" s="165" t="str">
        <f t="shared" si="36"/>
        <v/>
      </c>
      <c r="L332" s="165" t="str">
        <f t="shared" si="40"/>
        <v/>
      </c>
      <c r="M332" s="166" t="str">
        <f t="shared" si="37"/>
        <v/>
      </c>
      <c r="N332" s="167" t="str">
        <f t="shared" si="38"/>
        <v/>
      </c>
    </row>
    <row r="333" spans="1:14" ht="18" x14ac:dyDescent="0.35">
      <c r="A333" t="str">
        <f>IFERROR(B333&amp;" "&amp;COUNTIFS($B$4:B333,B333),"")</f>
        <v xml:space="preserve"> 0</v>
      </c>
      <c r="B333" s="169"/>
      <c r="C333" s="162"/>
      <c r="D333" s="162"/>
      <c r="E333" s="162"/>
      <c r="F333" s="163" t="str">
        <f t="shared" si="39"/>
        <v/>
      </c>
      <c r="G333" s="162"/>
      <c r="H333" s="162"/>
      <c r="I333" s="162"/>
      <c r="J333" s="164" t="str">
        <f t="shared" si="35"/>
        <v/>
      </c>
      <c r="K333" s="165" t="str">
        <f t="shared" si="36"/>
        <v/>
      </c>
      <c r="L333" s="165" t="str">
        <f t="shared" si="40"/>
        <v/>
      </c>
      <c r="M333" s="166" t="str">
        <f t="shared" si="37"/>
        <v/>
      </c>
      <c r="N333" s="167" t="str">
        <f t="shared" si="38"/>
        <v/>
      </c>
    </row>
    <row r="334" spans="1:14" ht="18" x14ac:dyDescent="0.35">
      <c r="A334" t="str">
        <f>IFERROR(B334&amp;" "&amp;COUNTIFS($B$4:B334,B334),"")</f>
        <v xml:space="preserve"> 0</v>
      </c>
      <c r="B334" s="169"/>
      <c r="C334" s="162"/>
      <c r="D334" s="162"/>
      <c r="E334" s="162"/>
      <c r="F334" s="163" t="str">
        <f t="shared" si="39"/>
        <v/>
      </c>
      <c r="G334" s="162"/>
      <c r="H334" s="162"/>
      <c r="I334" s="162"/>
      <c r="J334" s="164" t="str">
        <f t="shared" si="35"/>
        <v/>
      </c>
      <c r="K334" s="165" t="str">
        <f t="shared" si="36"/>
        <v/>
      </c>
      <c r="L334" s="165" t="str">
        <f t="shared" si="40"/>
        <v/>
      </c>
      <c r="M334" s="166" t="str">
        <f t="shared" si="37"/>
        <v/>
      </c>
      <c r="N334" s="167" t="str">
        <f t="shared" si="38"/>
        <v/>
      </c>
    </row>
    <row r="335" spans="1:14" ht="18" x14ac:dyDescent="0.35">
      <c r="A335" t="str">
        <f>IFERROR(B335&amp;" "&amp;COUNTIFS($B$4:B335,B335),"")</f>
        <v xml:space="preserve"> 0</v>
      </c>
      <c r="B335" s="169"/>
      <c r="C335" s="162"/>
      <c r="D335" s="162"/>
      <c r="E335" s="162"/>
      <c r="F335" s="163" t="str">
        <f t="shared" si="39"/>
        <v/>
      </c>
      <c r="G335" s="162"/>
      <c r="H335" s="162"/>
      <c r="I335" s="162"/>
      <c r="J335" s="164" t="str">
        <f t="shared" si="35"/>
        <v/>
      </c>
      <c r="K335" s="165" t="str">
        <f t="shared" si="36"/>
        <v/>
      </c>
      <c r="L335" s="165" t="str">
        <f t="shared" si="40"/>
        <v/>
      </c>
      <c r="M335" s="166" t="str">
        <f t="shared" si="37"/>
        <v/>
      </c>
      <c r="N335" s="167" t="str">
        <f t="shared" si="38"/>
        <v/>
      </c>
    </row>
    <row r="336" spans="1:14" ht="18" x14ac:dyDescent="0.35">
      <c r="A336" t="str">
        <f>IFERROR(B336&amp;" "&amp;COUNTIFS($B$4:B336,B336),"")</f>
        <v xml:space="preserve"> 0</v>
      </c>
      <c r="B336" s="169"/>
      <c r="C336" s="162"/>
      <c r="D336" s="162"/>
      <c r="E336" s="162"/>
      <c r="F336" s="163" t="str">
        <f t="shared" si="39"/>
        <v/>
      </c>
      <c r="G336" s="162"/>
      <c r="H336" s="162"/>
      <c r="I336" s="162"/>
      <c r="J336" s="164" t="str">
        <f t="shared" si="35"/>
        <v/>
      </c>
      <c r="K336" s="165" t="str">
        <f t="shared" si="36"/>
        <v/>
      </c>
      <c r="L336" s="165" t="str">
        <f t="shared" si="40"/>
        <v/>
      </c>
      <c r="M336" s="166" t="str">
        <f t="shared" si="37"/>
        <v/>
      </c>
      <c r="N336" s="167" t="str">
        <f t="shared" si="38"/>
        <v/>
      </c>
    </row>
    <row r="337" spans="1:14" ht="18" x14ac:dyDescent="0.35">
      <c r="A337" t="str">
        <f>IFERROR(B337&amp;" "&amp;COUNTIFS($B$4:B337,B337),"")</f>
        <v xml:space="preserve"> 0</v>
      </c>
      <c r="B337" s="169"/>
      <c r="C337" s="162"/>
      <c r="D337" s="162"/>
      <c r="E337" s="162"/>
      <c r="F337" s="163" t="str">
        <f t="shared" si="39"/>
        <v/>
      </c>
      <c r="G337" s="162"/>
      <c r="H337" s="162"/>
      <c r="I337" s="162"/>
      <c r="J337" s="164" t="str">
        <f t="shared" si="35"/>
        <v/>
      </c>
      <c r="K337" s="165" t="str">
        <f t="shared" si="36"/>
        <v/>
      </c>
      <c r="L337" s="165" t="str">
        <f t="shared" si="40"/>
        <v/>
      </c>
      <c r="M337" s="166" t="str">
        <f t="shared" si="37"/>
        <v/>
      </c>
      <c r="N337" s="167" t="str">
        <f t="shared" si="38"/>
        <v/>
      </c>
    </row>
    <row r="338" spans="1:14" ht="18" x14ac:dyDescent="0.35">
      <c r="A338" t="str">
        <f>IFERROR(B338&amp;" "&amp;COUNTIFS($B$4:B338,B338),"")</f>
        <v xml:space="preserve"> 0</v>
      </c>
      <c r="B338" s="169"/>
      <c r="C338" s="162"/>
      <c r="D338" s="162"/>
      <c r="E338" s="162"/>
      <c r="F338" s="163" t="str">
        <f t="shared" si="39"/>
        <v/>
      </c>
      <c r="G338" s="162"/>
      <c r="H338" s="162"/>
      <c r="I338" s="162"/>
      <c r="J338" s="164" t="str">
        <f t="shared" si="35"/>
        <v/>
      </c>
      <c r="K338" s="165" t="str">
        <f t="shared" si="36"/>
        <v/>
      </c>
      <c r="L338" s="165" t="str">
        <f t="shared" si="40"/>
        <v/>
      </c>
      <c r="M338" s="166" t="str">
        <f t="shared" si="37"/>
        <v/>
      </c>
      <c r="N338" s="167" t="str">
        <f t="shared" si="38"/>
        <v/>
      </c>
    </row>
    <row r="339" spans="1:14" ht="18" x14ac:dyDescent="0.35">
      <c r="A339" t="str">
        <f>IFERROR(B339&amp;" "&amp;COUNTIFS($B$4:B339,B339),"")</f>
        <v xml:space="preserve"> 0</v>
      </c>
      <c r="B339" s="169"/>
      <c r="C339" s="162"/>
      <c r="D339" s="162"/>
      <c r="E339" s="162"/>
      <c r="F339" s="163" t="str">
        <f t="shared" si="39"/>
        <v/>
      </c>
      <c r="G339" s="162"/>
      <c r="H339" s="162"/>
      <c r="I339" s="162"/>
      <c r="J339" s="164" t="str">
        <f t="shared" si="35"/>
        <v/>
      </c>
      <c r="K339" s="165" t="str">
        <f t="shared" si="36"/>
        <v/>
      </c>
      <c r="L339" s="165" t="str">
        <f t="shared" si="40"/>
        <v/>
      </c>
      <c r="M339" s="166" t="str">
        <f t="shared" si="37"/>
        <v/>
      </c>
      <c r="N339" s="167" t="str">
        <f t="shared" si="38"/>
        <v/>
      </c>
    </row>
    <row r="340" spans="1:14" ht="18" x14ac:dyDescent="0.35">
      <c r="A340" t="str">
        <f>IFERROR(B340&amp;" "&amp;COUNTIFS($B$4:B340,B340),"")</f>
        <v xml:space="preserve"> 0</v>
      </c>
      <c r="B340" s="169"/>
      <c r="C340" s="162"/>
      <c r="D340" s="162"/>
      <c r="E340" s="162"/>
      <c r="F340" s="163" t="str">
        <f t="shared" si="39"/>
        <v/>
      </c>
      <c r="G340" s="162"/>
      <c r="H340" s="162"/>
      <c r="I340" s="162"/>
      <c r="J340" s="164" t="str">
        <f t="shared" si="35"/>
        <v/>
      </c>
      <c r="K340" s="165" t="str">
        <f t="shared" si="36"/>
        <v/>
      </c>
      <c r="L340" s="165" t="str">
        <f t="shared" si="40"/>
        <v/>
      </c>
      <c r="M340" s="166" t="str">
        <f t="shared" si="37"/>
        <v/>
      </c>
      <c r="N340" s="167" t="str">
        <f t="shared" si="38"/>
        <v/>
      </c>
    </row>
    <row r="341" spans="1:14" ht="18" x14ac:dyDescent="0.35">
      <c r="A341" t="str">
        <f>IFERROR(B341&amp;" "&amp;COUNTIFS($B$4:B341,B341),"")</f>
        <v xml:space="preserve"> 0</v>
      </c>
      <c r="B341" s="169"/>
      <c r="C341" s="162"/>
      <c r="D341" s="162"/>
      <c r="E341" s="162"/>
      <c r="F341" s="163" t="str">
        <f t="shared" si="39"/>
        <v/>
      </c>
      <c r="G341" s="162"/>
      <c r="H341" s="162"/>
      <c r="I341" s="162"/>
      <c r="J341" s="164" t="str">
        <f t="shared" si="35"/>
        <v/>
      </c>
      <c r="K341" s="165" t="str">
        <f t="shared" si="36"/>
        <v/>
      </c>
      <c r="L341" s="165" t="str">
        <f t="shared" si="40"/>
        <v/>
      </c>
      <c r="M341" s="166" t="str">
        <f t="shared" si="37"/>
        <v/>
      </c>
      <c r="N341" s="167" t="str">
        <f t="shared" si="38"/>
        <v/>
      </c>
    </row>
    <row r="342" spans="1:14" ht="18" x14ac:dyDescent="0.35">
      <c r="A342" t="str">
        <f>IFERROR(B342&amp;" "&amp;COUNTIFS($B$4:B342,B342),"")</f>
        <v xml:space="preserve"> 0</v>
      </c>
      <c r="B342" s="169"/>
      <c r="C342" s="162"/>
      <c r="D342" s="162"/>
      <c r="E342" s="162"/>
      <c r="F342" s="163" t="str">
        <f t="shared" si="39"/>
        <v/>
      </c>
      <c r="G342" s="162"/>
      <c r="H342" s="162"/>
      <c r="I342" s="162"/>
      <c r="J342" s="164" t="str">
        <f t="shared" si="35"/>
        <v/>
      </c>
      <c r="K342" s="165" t="str">
        <f t="shared" si="36"/>
        <v/>
      </c>
      <c r="L342" s="165" t="str">
        <f t="shared" si="40"/>
        <v/>
      </c>
      <c r="M342" s="166" t="str">
        <f t="shared" si="37"/>
        <v/>
      </c>
      <c r="N342" s="167" t="str">
        <f t="shared" si="38"/>
        <v/>
      </c>
    </row>
    <row r="343" spans="1:14" ht="18" x14ac:dyDescent="0.35">
      <c r="A343" t="str">
        <f>IFERROR(B343&amp;" "&amp;COUNTIFS($B$4:B343,B343),"")</f>
        <v xml:space="preserve"> 0</v>
      </c>
      <c r="B343" s="169"/>
      <c r="C343" s="162"/>
      <c r="D343" s="162"/>
      <c r="E343" s="162"/>
      <c r="F343" s="163" t="str">
        <f t="shared" si="39"/>
        <v/>
      </c>
      <c r="G343" s="162"/>
      <c r="H343" s="162"/>
      <c r="I343" s="162"/>
      <c r="J343" s="164" t="str">
        <f t="shared" si="35"/>
        <v/>
      </c>
      <c r="K343" s="165" t="str">
        <f t="shared" si="36"/>
        <v/>
      </c>
      <c r="L343" s="165" t="str">
        <f t="shared" si="40"/>
        <v/>
      </c>
      <c r="M343" s="166" t="str">
        <f t="shared" si="37"/>
        <v/>
      </c>
      <c r="N343" s="167" t="str">
        <f t="shared" si="38"/>
        <v/>
      </c>
    </row>
    <row r="344" spans="1:14" ht="18" x14ac:dyDescent="0.35">
      <c r="A344" t="str">
        <f>IFERROR(B344&amp;" "&amp;COUNTIFS($B$4:B344,B344),"")</f>
        <v xml:space="preserve"> 0</v>
      </c>
      <c r="B344" s="169"/>
      <c r="C344" s="162"/>
      <c r="D344" s="162"/>
      <c r="E344" s="162"/>
      <c r="F344" s="163" t="str">
        <f t="shared" si="39"/>
        <v/>
      </c>
      <c r="G344" s="162"/>
      <c r="H344" s="162"/>
      <c r="I344" s="162"/>
      <c r="J344" s="164" t="str">
        <f t="shared" si="35"/>
        <v/>
      </c>
      <c r="K344" s="165" t="str">
        <f t="shared" si="36"/>
        <v/>
      </c>
      <c r="L344" s="165" t="str">
        <f t="shared" si="40"/>
        <v/>
      </c>
      <c r="M344" s="166" t="str">
        <f t="shared" si="37"/>
        <v/>
      </c>
      <c r="N344" s="167" t="str">
        <f t="shared" si="38"/>
        <v/>
      </c>
    </row>
    <row r="345" spans="1:14" ht="18" x14ac:dyDescent="0.35">
      <c r="A345" t="str">
        <f>IFERROR(B345&amp;" "&amp;COUNTIFS($B$4:B345,B345),"")</f>
        <v xml:space="preserve"> 0</v>
      </c>
      <c r="B345" s="169"/>
      <c r="C345" s="162"/>
      <c r="D345" s="162"/>
      <c r="E345" s="162"/>
      <c r="F345" s="163" t="str">
        <f t="shared" si="39"/>
        <v/>
      </c>
      <c r="G345" s="162"/>
      <c r="H345" s="162"/>
      <c r="I345" s="162"/>
      <c r="J345" s="164" t="str">
        <f t="shared" si="35"/>
        <v/>
      </c>
      <c r="K345" s="165" t="str">
        <f t="shared" si="36"/>
        <v/>
      </c>
      <c r="L345" s="165" t="str">
        <f t="shared" si="40"/>
        <v/>
      </c>
      <c r="M345" s="166" t="str">
        <f t="shared" si="37"/>
        <v/>
      </c>
      <c r="N345" s="167" t="str">
        <f t="shared" si="38"/>
        <v/>
      </c>
    </row>
    <row r="346" spans="1:14" ht="18" x14ac:dyDescent="0.35">
      <c r="A346" t="str">
        <f>IFERROR(B346&amp;" "&amp;COUNTIFS($B$4:B346,B346),"")</f>
        <v xml:space="preserve"> 0</v>
      </c>
      <c r="B346" s="169"/>
      <c r="C346" s="162"/>
      <c r="D346" s="162"/>
      <c r="E346" s="162"/>
      <c r="F346" s="163" t="str">
        <f t="shared" si="39"/>
        <v/>
      </c>
      <c r="G346" s="162"/>
      <c r="H346" s="162"/>
      <c r="I346" s="162"/>
      <c r="J346" s="164" t="str">
        <f t="shared" si="35"/>
        <v/>
      </c>
      <c r="K346" s="165" t="str">
        <f t="shared" si="36"/>
        <v/>
      </c>
      <c r="L346" s="165" t="str">
        <f t="shared" si="40"/>
        <v/>
      </c>
      <c r="M346" s="166" t="str">
        <f t="shared" si="37"/>
        <v/>
      </c>
      <c r="N346" s="167" t="str">
        <f t="shared" si="38"/>
        <v/>
      </c>
    </row>
    <row r="347" spans="1:14" ht="18" x14ac:dyDescent="0.35">
      <c r="A347" t="str">
        <f>IFERROR(B347&amp;" "&amp;COUNTIFS($B$4:B347,B347),"")</f>
        <v xml:space="preserve"> 0</v>
      </c>
      <c r="B347" s="169"/>
      <c r="C347" s="162"/>
      <c r="D347" s="162"/>
      <c r="E347" s="162"/>
      <c r="F347" s="163" t="str">
        <f t="shared" si="39"/>
        <v/>
      </c>
      <c r="G347" s="162"/>
      <c r="H347" s="162"/>
      <c r="I347" s="162"/>
      <c r="J347" s="164" t="str">
        <f t="shared" si="35"/>
        <v/>
      </c>
      <c r="K347" s="165" t="str">
        <f t="shared" si="36"/>
        <v/>
      </c>
      <c r="L347" s="165" t="str">
        <f t="shared" si="40"/>
        <v/>
      </c>
      <c r="M347" s="166" t="str">
        <f t="shared" si="37"/>
        <v/>
      </c>
      <c r="N347" s="167" t="str">
        <f t="shared" si="38"/>
        <v/>
      </c>
    </row>
    <row r="348" spans="1:14" ht="18" x14ac:dyDescent="0.35">
      <c r="A348" t="str">
        <f>IFERROR(B348&amp;" "&amp;COUNTIFS($B$4:B348,B348),"")</f>
        <v xml:space="preserve"> 0</v>
      </c>
      <c r="B348" s="169"/>
      <c r="C348" s="162"/>
      <c r="D348" s="162"/>
      <c r="E348" s="162"/>
      <c r="F348" s="163" t="str">
        <f t="shared" si="39"/>
        <v/>
      </c>
      <c r="G348" s="162"/>
      <c r="H348" s="162"/>
      <c r="I348" s="162"/>
      <c r="J348" s="164" t="str">
        <f t="shared" si="35"/>
        <v/>
      </c>
      <c r="K348" s="165" t="str">
        <f t="shared" si="36"/>
        <v/>
      </c>
      <c r="L348" s="165" t="str">
        <f t="shared" si="40"/>
        <v/>
      </c>
      <c r="M348" s="166" t="str">
        <f t="shared" si="37"/>
        <v/>
      </c>
      <c r="N348" s="167" t="str">
        <f t="shared" si="38"/>
        <v/>
      </c>
    </row>
    <row r="349" spans="1:14" ht="18" x14ac:dyDescent="0.35">
      <c r="A349" t="str">
        <f>IFERROR(B349&amp;" "&amp;COUNTIFS($B$4:B349,B349),"")</f>
        <v xml:space="preserve"> 0</v>
      </c>
      <c r="B349" s="169"/>
      <c r="C349" s="162"/>
      <c r="D349" s="162"/>
      <c r="E349" s="162"/>
      <c r="F349" s="163" t="str">
        <f t="shared" si="39"/>
        <v/>
      </c>
      <c r="G349" s="162"/>
      <c r="H349" s="162"/>
      <c r="I349" s="162"/>
      <c r="J349" s="164" t="str">
        <f t="shared" si="35"/>
        <v/>
      </c>
      <c r="K349" s="165" t="str">
        <f t="shared" si="36"/>
        <v/>
      </c>
      <c r="L349" s="165" t="str">
        <f t="shared" si="40"/>
        <v/>
      </c>
      <c r="M349" s="166" t="str">
        <f t="shared" si="37"/>
        <v/>
      </c>
      <c r="N349" s="167" t="str">
        <f t="shared" si="38"/>
        <v/>
      </c>
    </row>
    <row r="350" spans="1:14" ht="18" x14ac:dyDescent="0.35">
      <c r="A350" t="str">
        <f>IFERROR(B350&amp;" "&amp;COUNTIFS($B$4:B350,B350),"")</f>
        <v xml:space="preserve"> 0</v>
      </c>
      <c r="B350" s="169"/>
      <c r="C350" s="162"/>
      <c r="D350" s="162"/>
      <c r="E350" s="162"/>
      <c r="F350" s="163" t="str">
        <f t="shared" si="39"/>
        <v/>
      </c>
      <c r="G350" s="162"/>
      <c r="H350" s="162"/>
      <c r="I350" s="162"/>
      <c r="J350" s="164" t="str">
        <f t="shared" si="35"/>
        <v/>
      </c>
      <c r="K350" s="165" t="str">
        <f t="shared" si="36"/>
        <v/>
      </c>
      <c r="L350" s="165" t="str">
        <f t="shared" si="40"/>
        <v/>
      </c>
      <c r="M350" s="166" t="str">
        <f t="shared" si="37"/>
        <v/>
      </c>
      <c r="N350" s="167" t="str">
        <f t="shared" si="38"/>
        <v/>
      </c>
    </row>
    <row r="351" spans="1:14" ht="18" x14ac:dyDescent="0.35">
      <c r="A351" t="str">
        <f>IFERROR(B351&amp;" "&amp;COUNTIFS($B$4:B351,B351),"")</f>
        <v xml:space="preserve"> 0</v>
      </c>
      <c r="B351" s="169"/>
      <c r="C351" s="162"/>
      <c r="D351" s="162"/>
      <c r="E351" s="162"/>
      <c r="F351" s="163" t="str">
        <f t="shared" si="39"/>
        <v/>
      </c>
      <c r="G351" s="162"/>
      <c r="H351" s="162"/>
      <c r="I351" s="162"/>
      <c r="J351" s="164" t="str">
        <f t="shared" si="35"/>
        <v/>
      </c>
      <c r="K351" s="165" t="str">
        <f t="shared" si="36"/>
        <v/>
      </c>
      <c r="L351" s="165" t="str">
        <f t="shared" si="40"/>
        <v/>
      </c>
      <c r="M351" s="166" t="str">
        <f t="shared" si="37"/>
        <v/>
      </c>
      <c r="N351" s="167" t="str">
        <f t="shared" si="38"/>
        <v/>
      </c>
    </row>
    <row r="352" spans="1:14" ht="18" x14ac:dyDescent="0.35">
      <c r="A352" t="str">
        <f>IFERROR(B352&amp;" "&amp;COUNTIFS($B$4:B352,B352),"")</f>
        <v xml:space="preserve"> 0</v>
      </c>
      <c r="B352" s="169"/>
      <c r="C352" s="162"/>
      <c r="D352" s="162"/>
      <c r="E352" s="162"/>
      <c r="F352" s="163" t="str">
        <f t="shared" si="39"/>
        <v/>
      </c>
      <c r="G352" s="162"/>
      <c r="H352" s="162"/>
      <c r="I352" s="162"/>
      <c r="J352" s="164" t="str">
        <f t="shared" si="35"/>
        <v/>
      </c>
      <c r="K352" s="165" t="str">
        <f t="shared" si="36"/>
        <v/>
      </c>
      <c r="L352" s="165" t="str">
        <f t="shared" si="40"/>
        <v/>
      </c>
      <c r="M352" s="166" t="str">
        <f t="shared" si="37"/>
        <v/>
      </c>
      <c r="N352" s="167" t="str">
        <f t="shared" si="38"/>
        <v/>
      </c>
    </row>
    <row r="353" spans="1:14" ht="18" x14ac:dyDescent="0.35">
      <c r="A353" t="str">
        <f>IFERROR(B353&amp;" "&amp;COUNTIFS($B$4:B353,B353),"")</f>
        <v xml:space="preserve"> 0</v>
      </c>
      <c r="B353" s="169"/>
      <c r="C353" s="162"/>
      <c r="D353" s="162"/>
      <c r="E353" s="162"/>
      <c r="F353" s="163" t="str">
        <f t="shared" si="39"/>
        <v/>
      </c>
      <c r="G353" s="162"/>
      <c r="H353" s="162"/>
      <c r="I353" s="162"/>
      <c r="J353" s="164" t="str">
        <f t="shared" si="35"/>
        <v/>
      </c>
      <c r="K353" s="165" t="str">
        <f t="shared" si="36"/>
        <v/>
      </c>
      <c r="L353" s="165" t="str">
        <f t="shared" si="40"/>
        <v/>
      </c>
      <c r="M353" s="166" t="str">
        <f t="shared" si="37"/>
        <v/>
      </c>
      <c r="N353" s="167" t="str">
        <f t="shared" si="38"/>
        <v/>
      </c>
    </row>
    <row r="354" spans="1:14" ht="18" x14ac:dyDescent="0.35">
      <c r="A354" t="str">
        <f>IFERROR(B354&amp;" "&amp;COUNTIFS($B$4:B354,B354),"")</f>
        <v xml:space="preserve"> 0</v>
      </c>
      <c r="B354" s="169"/>
      <c r="C354" s="162"/>
      <c r="D354" s="162"/>
      <c r="E354" s="162"/>
      <c r="F354" s="163" t="str">
        <f t="shared" si="39"/>
        <v/>
      </c>
      <c r="G354" s="162"/>
      <c r="H354" s="162"/>
      <c r="I354" s="162"/>
      <c r="J354" s="164" t="str">
        <f t="shared" si="35"/>
        <v/>
      </c>
      <c r="K354" s="165" t="str">
        <f t="shared" si="36"/>
        <v/>
      </c>
      <c r="L354" s="165" t="str">
        <f t="shared" si="40"/>
        <v/>
      </c>
      <c r="M354" s="166" t="str">
        <f t="shared" si="37"/>
        <v/>
      </c>
      <c r="N354" s="167" t="str">
        <f t="shared" si="38"/>
        <v/>
      </c>
    </row>
    <row r="355" spans="1:14" ht="18" x14ac:dyDescent="0.35">
      <c r="A355" t="str">
        <f>IFERROR(B355&amp;" "&amp;COUNTIFS($B$4:B355,B355),"")</f>
        <v xml:space="preserve"> 0</v>
      </c>
      <c r="B355" s="169"/>
      <c r="C355" s="162"/>
      <c r="D355" s="162"/>
      <c r="E355" s="162"/>
      <c r="F355" s="163" t="str">
        <f t="shared" si="39"/>
        <v/>
      </c>
      <c r="G355" s="162"/>
      <c r="H355" s="162"/>
      <c r="I355" s="162"/>
      <c r="J355" s="164" t="str">
        <f t="shared" si="35"/>
        <v/>
      </c>
      <c r="K355" s="165" t="str">
        <f t="shared" si="36"/>
        <v/>
      </c>
      <c r="L355" s="165" t="str">
        <f t="shared" si="40"/>
        <v/>
      </c>
      <c r="M355" s="166" t="str">
        <f t="shared" si="37"/>
        <v/>
      </c>
      <c r="N355" s="167" t="str">
        <f t="shared" si="38"/>
        <v/>
      </c>
    </row>
    <row r="356" spans="1:14" ht="18" x14ac:dyDescent="0.35">
      <c r="A356" t="str">
        <f>IFERROR(B356&amp;" "&amp;COUNTIFS($B$4:B356,B356),"")</f>
        <v xml:space="preserve"> 0</v>
      </c>
      <c r="B356" s="169"/>
      <c r="C356" s="162"/>
      <c r="D356" s="162"/>
      <c r="E356" s="162"/>
      <c r="F356" s="163" t="str">
        <f t="shared" si="39"/>
        <v/>
      </c>
      <c r="G356" s="162"/>
      <c r="H356" s="162"/>
      <c r="I356" s="162"/>
      <c r="J356" s="164" t="str">
        <f t="shared" si="35"/>
        <v/>
      </c>
      <c r="K356" s="165" t="str">
        <f t="shared" si="36"/>
        <v/>
      </c>
      <c r="L356" s="165" t="str">
        <f t="shared" si="40"/>
        <v/>
      </c>
      <c r="M356" s="166" t="str">
        <f t="shared" si="37"/>
        <v/>
      </c>
      <c r="N356" s="167" t="str">
        <f t="shared" si="38"/>
        <v/>
      </c>
    </row>
    <row r="357" spans="1:14" ht="18" x14ac:dyDescent="0.35">
      <c r="A357" t="str">
        <f>IFERROR(B357&amp;" "&amp;COUNTIFS($B$4:B357,B357),"")</f>
        <v xml:space="preserve"> 0</v>
      </c>
      <c r="B357" s="169"/>
      <c r="C357" s="162"/>
      <c r="D357" s="162"/>
      <c r="E357" s="162"/>
      <c r="F357" s="163" t="str">
        <f t="shared" si="39"/>
        <v/>
      </c>
      <c r="G357" s="162"/>
      <c r="H357" s="162"/>
      <c r="I357" s="162"/>
      <c r="J357" s="164" t="str">
        <f t="shared" si="35"/>
        <v/>
      </c>
      <c r="K357" s="165" t="str">
        <f t="shared" si="36"/>
        <v/>
      </c>
      <c r="L357" s="165" t="str">
        <f t="shared" si="40"/>
        <v/>
      </c>
      <c r="M357" s="166" t="str">
        <f t="shared" si="37"/>
        <v/>
      </c>
      <c r="N357" s="167" t="str">
        <f t="shared" si="38"/>
        <v/>
      </c>
    </row>
    <row r="358" spans="1:14" ht="18" x14ac:dyDescent="0.35">
      <c r="A358" t="str">
        <f>IFERROR(B358&amp;" "&amp;COUNTIFS($B$4:B358,B358),"")</f>
        <v xml:space="preserve"> 0</v>
      </c>
      <c r="B358" s="169"/>
      <c r="C358" s="162"/>
      <c r="D358" s="162"/>
      <c r="E358" s="162"/>
      <c r="F358" s="163" t="str">
        <f t="shared" si="39"/>
        <v/>
      </c>
      <c r="G358" s="162"/>
      <c r="H358" s="162"/>
      <c r="I358" s="162"/>
      <c r="J358" s="164" t="str">
        <f t="shared" si="35"/>
        <v/>
      </c>
      <c r="K358" s="165" t="str">
        <f t="shared" si="36"/>
        <v/>
      </c>
      <c r="L358" s="165" t="str">
        <f t="shared" si="40"/>
        <v/>
      </c>
      <c r="M358" s="166" t="str">
        <f t="shared" si="37"/>
        <v/>
      </c>
      <c r="N358" s="167" t="str">
        <f t="shared" si="38"/>
        <v/>
      </c>
    </row>
    <row r="359" spans="1:14" ht="18" x14ac:dyDescent="0.35">
      <c r="A359" t="str">
        <f>IFERROR(B359&amp;" "&amp;COUNTIFS($B$4:B359,B359),"")</f>
        <v xml:space="preserve"> 0</v>
      </c>
      <c r="B359" s="169"/>
      <c r="C359" s="162"/>
      <c r="D359" s="162"/>
      <c r="E359" s="162"/>
      <c r="F359" s="163" t="str">
        <f t="shared" si="39"/>
        <v/>
      </c>
      <c r="G359" s="162"/>
      <c r="H359" s="162"/>
      <c r="I359" s="162"/>
      <c r="J359" s="164" t="str">
        <f t="shared" si="35"/>
        <v/>
      </c>
      <c r="K359" s="165" t="str">
        <f t="shared" si="36"/>
        <v/>
      </c>
      <c r="L359" s="165" t="str">
        <f t="shared" si="40"/>
        <v/>
      </c>
      <c r="M359" s="166" t="str">
        <f t="shared" si="37"/>
        <v/>
      </c>
      <c r="N359" s="167" t="str">
        <f t="shared" si="38"/>
        <v/>
      </c>
    </row>
    <row r="360" spans="1:14" ht="18" x14ac:dyDescent="0.35">
      <c r="A360" t="str">
        <f>IFERROR(B360&amp;" "&amp;COUNTIFS($B$4:B360,B360),"")</f>
        <v xml:space="preserve"> 0</v>
      </c>
      <c r="B360" s="169"/>
      <c r="C360" s="162"/>
      <c r="D360" s="162"/>
      <c r="E360" s="162"/>
      <c r="F360" s="163" t="str">
        <f t="shared" si="39"/>
        <v/>
      </c>
      <c r="G360" s="162"/>
      <c r="H360" s="162"/>
      <c r="I360" s="162"/>
      <c r="J360" s="164" t="str">
        <f t="shared" si="35"/>
        <v/>
      </c>
      <c r="K360" s="165" t="str">
        <f t="shared" si="36"/>
        <v/>
      </c>
      <c r="L360" s="165" t="str">
        <f t="shared" si="40"/>
        <v/>
      </c>
      <c r="M360" s="166" t="str">
        <f t="shared" si="37"/>
        <v/>
      </c>
      <c r="N360" s="167" t="str">
        <f t="shared" si="38"/>
        <v/>
      </c>
    </row>
    <row r="361" spans="1:14" ht="18" x14ac:dyDescent="0.35">
      <c r="A361" t="str">
        <f>IFERROR(B361&amp;" "&amp;COUNTIFS($B$4:B361,B361),"")</f>
        <v xml:space="preserve"> 0</v>
      </c>
      <c r="B361" s="169"/>
      <c r="C361" s="162"/>
      <c r="D361" s="162"/>
      <c r="E361" s="162"/>
      <c r="F361" s="163" t="str">
        <f t="shared" si="39"/>
        <v/>
      </c>
      <c r="G361" s="162"/>
      <c r="H361" s="162"/>
      <c r="I361" s="162"/>
      <c r="J361" s="164" t="str">
        <f t="shared" si="35"/>
        <v/>
      </c>
      <c r="K361" s="165" t="str">
        <f t="shared" si="36"/>
        <v/>
      </c>
      <c r="L361" s="165" t="str">
        <f t="shared" si="40"/>
        <v/>
      </c>
      <c r="M361" s="166" t="str">
        <f t="shared" si="37"/>
        <v/>
      </c>
      <c r="N361" s="167" t="str">
        <f t="shared" si="38"/>
        <v/>
      </c>
    </row>
    <row r="362" spans="1:14" ht="18" x14ac:dyDescent="0.35">
      <c r="A362" t="str">
        <f>IFERROR(B362&amp;" "&amp;COUNTIFS($B$4:B362,B362),"")</f>
        <v xml:space="preserve"> 0</v>
      </c>
      <c r="B362" s="169"/>
      <c r="C362" s="162"/>
      <c r="D362" s="162"/>
      <c r="E362" s="162"/>
      <c r="F362" s="163" t="str">
        <f t="shared" si="39"/>
        <v/>
      </c>
      <c r="G362" s="162"/>
      <c r="H362" s="162"/>
      <c r="I362" s="162"/>
      <c r="J362" s="164" t="str">
        <f t="shared" si="35"/>
        <v/>
      </c>
      <c r="K362" s="165" t="str">
        <f t="shared" si="36"/>
        <v/>
      </c>
      <c r="L362" s="165" t="str">
        <f t="shared" si="40"/>
        <v/>
      </c>
      <c r="M362" s="166" t="str">
        <f t="shared" si="37"/>
        <v/>
      </c>
      <c r="N362" s="167" t="str">
        <f t="shared" si="38"/>
        <v/>
      </c>
    </row>
    <row r="363" spans="1:14" ht="18" x14ac:dyDescent="0.35">
      <c r="A363" t="str">
        <f>IFERROR(B363&amp;" "&amp;COUNTIFS($B$4:B363,B363),"")</f>
        <v xml:space="preserve"> 0</v>
      </c>
      <c r="B363" s="169"/>
      <c r="C363" s="162"/>
      <c r="D363" s="162"/>
      <c r="E363" s="162"/>
      <c r="F363" s="163" t="str">
        <f t="shared" si="39"/>
        <v/>
      </c>
      <c r="G363" s="162"/>
      <c r="H363" s="162"/>
      <c r="I363" s="162"/>
      <c r="J363" s="164" t="str">
        <f t="shared" si="35"/>
        <v/>
      </c>
      <c r="K363" s="165" t="str">
        <f t="shared" si="36"/>
        <v/>
      </c>
      <c r="L363" s="165" t="str">
        <f t="shared" si="40"/>
        <v/>
      </c>
      <c r="M363" s="166" t="str">
        <f t="shared" si="37"/>
        <v/>
      </c>
      <c r="N363" s="167" t="str">
        <f t="shared" si="38"/>
        <v/>
      </c>
    </row>
    <row r="364" spans="1:14" ht="18" x14ac:dyDescent="0.35">
      <c r="A364" t="str">
        <f>IFERROR(B364&amp;" "&amp;COUNTIFS($B$4:B364,B364),"")</f>
        <v xml:space="preserve"> 0</v>
      </c>
      <c r="B364" s="169"/>
      <c r="C364" s="162"/>
      <c r="D364" s="162"/>
      <c r="E364" s="162"/>
      <c r="F364" s="163" t="str">
        <f t="shared" si="39"/>
        <v/>
      </c>
      <c r="G364" s="162"/>
      <c r="H364" s="162"/>
      <c r="I364" s="162"/>
      <c r="J364" s="164" t="str">
        <f t="shared" si="35"/>
        <v/>
      </c>
      <c r="K364" s="165" t="str">
        <f t="shared" si="36"/>
        <v/>
      </c>
      <c r="L364" s="165" t="str">
        <f t="shared" si="40"/>
        <v/>
      </c>
      <c r="M364" s="166" t="str">
        <f t="shared" si="37"/>
        <v/>
      </c>
      <c r="N364" s="167" t="str">
        <f t="shared" si="38"/>
        <v/>
      </c>
    </row>
    <row r="365" spans="1:14" ht="18" x14ac:dyDescent="0.35">
      <c r="A365" t="str">
        <f>IFERROR(B365&amp;" "&amp;COUNTIFS($B$4:B365,B365),"")</f>
        <v xml:space="preserve"> 0</v>
      </c>
      <c r="B365" s="169"/>
      <c r="C365" s="162"/>
      <c r="D365" s="162"/>
      <c r="E365" s="162"/>
      <c r="F365" s="163" t="str">
        <f t="shared" si="39"/>
        <v/>
      </c>
      <c r="G365" s="162"/>
      <c r="H365" s="162"/>
      <c r="I365" s="162"/>
      <c r="J365" s="164" t="str">
        <f t="shared" si="35"/>
        <v/>
      </c>
      <c r="K365" s="165" t="str">
        <f t="shared" si="36"/>
        <v/>
      </c>
      <c r="L365" s="165" t="str">
        <f t="shared" si="40"/>
        <v/>
      </c>
      <c r="M365" s="166" t="str">
        <f t="shared" si="37"/>
        <v/>
      </c>
      <c r="N365" s="167" t="str">
        <f t="shared" si="38"/>
        <v/>
      </c>
    </row>
    <row r="366" spans="1:14" ht="18" x14ac:dyDescent="0.35">
      <c r="A366" t="str">
        <f>IFERROR(B366&amp;" "&amp;COUNTIFS($B$4:B366,B366),"")</f>
        <v xml:space="preserve"> 0</v>
      </c>
      <c r="B366" s="169"/>
      <c r="C366" s="162"/>
      <c r="D366" s="162"/>
      <c r="E366" s="162"/>
      <c r="F366" s="163" t="str">
        <f t="shared" si="39"/>
        <v/>
      </c>
      <c r="G366" s="162"/>
      <c r="H366" s="162"/>
      <c r="I366" s="162"/>
      <c r="J366" s="164" t="str">
        <f t="shared" si="35"/>
        <v/>
      </c>
      <c r="K366" s="165" t="str">
        <f t="shared" si="36"/>
        <v/>
      </c>
      <c r="L366" s="165" t="str">
        <f t="shared" si="40"/>
        <v/>
      </c>
      <c r="M366" s="166" t="str">
        <f t="shared" si="37"/>
        <v/>
      </c>
      <c r="N366" s="167" t="str">
        <f t="shared" si="38"/>
        <v/>
      </c>
    </row>
    <row r="367" spans="1:14" ht="18" x14ac:dyDescent="0.35">
      <c r="A367" t="str">
        <f>IFERROR(B367&amp;" "&amp;COUNTIFS($B$4:B367,B367),"")</f>
        <v xml:space="preserve"> 0</v>
      </c>
      <c r="B367" s="169"/>
      <c r="C367" s="162"/>
      <c r="D367" s="162"/>
      <c r="E367" s="162"/>
      <c r="F367" s="163" t="str">
        <f t="shared" si="39"/>
        <v/>
      </c>
      <c r="G367" s="162"/>
      <c r="H367" s="162"/>
      <c r="I367" s="162"/>
      <c r="J367" s="164" t="str">
        <f t="shared" si="35"/>
        <v/>
      </c>
      <c r="K367" s="165" t="str">
        <f t="shared" si="36"/>
        <v/>
      </c>
      <c r="L367" s="165" t="str">
        <f t="shared" si="40"/>
        <v/>
      </c>
      <c r="M367" s="166" t="str">
        <f t="shared" si="37"/>
        <v/>
      </c>
      <c r="N367" s="167" t="str">
        <f t="shared" si="38"/>
        <v/>
      </c>
    </row>
    <row r="368" spans="1:14" ht="18" x14ac:dyDescent="0.35">
      <c r="A368" t="str">
        <f>IFERROR(B368&amp;" "&amp;COUNTIFS($B$4:B368,B368),"")</f>
        <v xml:space="preserve"> 0</v>
      </c>
      <c r="B368" s="169"/>
      <c r="C368" s="162"/>
      <c r="D368" s="162"/>
      <c r="E368" s="162"/>
      <c r="F368" s="163" t="str">
        <f t="shared" si="39"/>
        <v/>
      </c>
      <c r="G368" s="162"/>
      <c r="H368" s="162"/>
      <c r="I368" s="162"/>
      <c r="J368" s="164" t="str">
        <f t="shared" si="35"/>
        <v/>
      </c>
      <c r="K368" s="165" t="str">
        <f t="shared" si="36"/>
        <v/>
      </c>
      <c r="L368" s="165" t="str">
        <f t="shared" si="40"/>
        <v/>
      </c>
      <c r="M368" s="166" t="str">
        <f t="shared" si="37"/>
        <v/>
      </c>
      <c r="N368" s="167" t="str">
        <f t="shared" si="38"/>
        <v/>
      </c>
    </row>
    <row r="369" spans="1:14" ht="18" x14ac:dyDescent="0.35">
      <c r="A369" t="str">
        <f>IFERROR(B369&amp;" "&amp;COUNTIFS($B$4:B369,B369),"")</f>
        <v xml:space="preserve"> 0</v>
      </c>
      <c r="B369" s="169"/>
      <c r="C369" s="162"/>
      <c r="D369" s="162"/>
      <c r="E369" s="162"/>
      <c r="F369" s="163" t="str">
        <f t="shared" si="39"/>
        <v/>
      </c>
      <c r="G369" s="162"/>
      <c r="H369" s="162"/>
      <c r="I369" s="162"/>
      <c r="J369" s="164" t="str">
        <f t="shared" si="35"/>
        <v/>
      </c>
      <c r="K369" s="165" t="str">
        <f t="shared" si="36"/>
        <v/>
      </c>
      <c r="L369" s="165" t="str">
        <f t="shared" si="40"/>
        <v/>
      </c>
      <c r="M369" s="166" t="str">
        <f t="shared" si="37"/>
        <v/>
      </c>
      <c r="N369" s="167" t="str">
        <f t="shared" si="38"/>
        <v/>
      </c>
    </row>
    <row r="370" spans="1:14" ht="18" x14ac:dyDescent="0.35">
      <c r="A370" t="str">
        <f>IFERROR(B370&amp;" "&amp;COUNTIFS($B$4:B370,B370),"")</f>
        <v xml:space="preserve"> 0</v>
      </c>
      <c r="B370" s="169"/>
      <c r="C370" s="162"/>
      <c r="D370" s="162"/>
      <c r="E370" s="162"/>
      <c r="F370" s="163" t="str">
        <f t="shared" si="39"/>
        <v/>
      </c>
      <c r="G370" s="162"/>
      <c r="H370" s="162"/>
      <c r="I370" s="162"/>
      <c r="J370" s="164" t="str">
        <f t="shared" si="35"/>
        <v/>
      </c>
      <c r="K370" s="165" t="str">
        <f t="shared" si="36"/>
        <v/>
      </c>
      <c r="L370" s="165" t="str">
        <f t="shared" si="40"/>
        <v/>
      </c>
      <c r="M370" s="166" t="str">
        <f t="shared" si="37"/>
        <v/>
      </c>
      <c r="N370" s="167" t="str">
        <f t="shared" si="38"/>
        <v/>
      </c>
    </row>
    <row r="371" spans="1:14" ht="18" x14ac:dyDescent="0.35">
      <c r="A371" t="str">
        <f>IFERROR(B371&amp;" "&amp;COUNTIFS($B$4:B371,B371),"")</f>
        <v xml:space="preserve"> 0</v>
      </c>
      <c r="B371" s="169"/>
      <c r="C371" s="162"/>
      <c r="D371" s="162"/>
      <c r="E371" s="162"/>
      <c r="F371" s="163" t="str">
        <f t="shared" si="39"/>
        <v/>
      </c>
      <c r="G371" s="162"/>
      <c r="H371" s="162"/>
      <c r="I371" s="162"/>
      <c r="J371" s="164" t="str">
        <f t="shared" si="35"/>
        <v/>
      </c>
      <c r="K371" s="165" t="str">
        <f t="shared" si="36"/>
        <v/>
      </c>
      <c r="L371" s="165" t="str">
        <f t="shared" si="40"/>
        <v/>
      </c>
      <c r="M371" s="166" t="str">
        <f t="shared" si="37"/>
        <v/>
      </c>
      <c r="N371" s="167" t="str">
        <f t="shared" si="38"/>
        <v/>
      </c>
    </row>
    <row r="372" spans="1:14" ht="18" x14ac:dyDescent="0.35">
      <c r="A372" t="str">
        <f>IFERROR(B372&amp;" "&amp;COUNTIFS($B$4:B372,B372),"")</f>
        <v xml:space="preserve"> 0</v>
      </c>
      <c r="B372" s="169"/>
      <c r="C372" s="162"/>
      <c r="D372" s="162"/>
      <c r="E372" s="162"/>
      <c r="F372" s="163" t="str">
        <f t="shared" si="39"/>
        <v/>
      </c>
      <c r="G372" s="162"/>
      <c r="H372" s="162"/>
      <c r="I372" s="162"/>
      <c r="J372" s="164" t="str">
        <f t="shared" si="35"/>
        <v/>
      </c>
      <c r="K372" s="165" t="str">
        <f t="shared" si="36"/>
        <v/>
      </c>
      <c r="L372" s="165" t="str">
        <f t="shared" si="40"/>
        <v/>
      </c>
      <c r="M372" s="166" t="str">
        <f t="shared" si="37"/>
        <v/>
      </c>
      <c r="N372" s="167" t="str">
        <f t="shared" si="38"/>
        <v/>
      </c>
    </row>
    <row r="373" spans="1:14" ht="18" x14ac:dyDescent="0.35">
      <c r="A373" t="str">
        <f>IFERROR(B373&amp;" "&amp;COUNTIFS($B$4:B373,B373),"")</f>
        <v xml:space="preserve"> 0</v>
      </c>
      <c r="B373" s="169"/>
      <c r="C373" s="162"/>
      <c r="D373" s="162"/>
      <c r="E373" s="162"/>
      <c r="F373" s="163" t="str">
        <f t="shared" si="39"/>
        <v/>
      </c>
      <c r="G373" s="162"/>
      <c r="H373" s="162"/>
      <c r="I373" s="162"/>
      <c r="J373" s="164" t="str">
        <f t="shared" si="35"/>
        <v/>
      </c>
      <c r="K373" s="165" t="str">
        <f t="shared" si="36"/>
        <v/>
      </c>
      <c r="L373" s="165" t="str">
        <f t="shared" si="40"/>
        <v/>
      </c>
      <c r="M373" s="166" t="str">
        <f t="shared" si="37"/>
        <v/>
      </c>
      <c r="N373" s="167" t="str">
        <f t="shared" si="38"/>
        <v/>
      </c>
    </row>
    <row r="374" spans="1:14" ht="18" x14ac:dyDescent="0.35">
      <c r="A374" t="str">
        <f>IFERROR(B374&amp;" "&amp;COUNTIFS($B$4:B374,B374),"")</f>
        <v xml:space="preserve"> 0</v>
      </c>
      <c r="B374" s="169"/>
      <c r="C374" s="162"/>
      <c r="D374" s="162"/>
      <c r="E374" s="162"/>
      <c r="F374" s="163" t="str">
        <f t="shared" si="39"/>
        <v/>
      </c>
      <c r="G374" s="162"/>
      <c r="H374" s="162"/>
      <c r="I374" s="162"/>
      <c r="J374" s="164" t="str">
        <f t="shared" si="35"/>
        <v/>
      </c>
      <c r="K374" s="165" t="str">
        <f t="shared" si="36"/>
        <v/>
      </c>
      <c r="L374" s="165" t="str">
        <f t="shared" si="40"/>
        <v/>
      </c>
      <c r="M374" s="166" t="str">
        <f t="shared" si="37"/>
        <v/>
      </c>
      <c r="N374" s="167" t="str">
        <f t="shared" si="38"/>
        <v/>
      </c>
    </row>
    <row r="375" spans="1:14" ht="18" x14ac:dyDescent="0.35">
      <c r="A375" t="str">
        <f>IFERROR(B375&amp;" "&amp;COUNTIFS($B$4:B375,B375),"")</f>
        <v xml:space="preserve"> 0</v>
      </c>
      <c r="B375" s="169"/>
      <c r="C375" s="162"/>
      <c r="D375" s="162"/>
      <c r="E375" s="162"/>
      <c r="F375" s="163" t="str">
        <f t="shared" si="39"/>
        <v/>
      </c>
      <c r="G375" s="162"/>
      <c r="H375" s="162"/>
      <c r="I375" s="162"/>
      <c r="J375" s="164" t="str">
        <f t="shared" si="35"/>
        <v/>
      </c>
      <c r="K375" s="165" t="str">
        <f t="shared" si="36"/>
        <v/>
      </c>
      <c r="L375" s="165" t="str">
        <f t="shared" si="40"/>
        <v/>
      </c>
      <c r="M375" s="166" t="str">
        <f t="shared" si="37"/>
        <v/>
      </c>
      <c r="N375" s="167" t="str">
        <f t="shared" si="38"/>
        <v/>
      </c>
    </row>
    <row r="376" spans="1:14" ht="18" x14ac:dyDescent="0.35">
      <c r="A376" t="str">
        <f>IFERROR(B376&amp;" "&amp;COUNTIFS($B$4:B376,B376),"")</f>
        <v xml:space="preserve"> 0</v>
      </c>
      <c r="B376" s="169"/>
      <c r="C376" s="162"/>
      <c r="D376" s="162"/>
      <c r="E376" s="162"/>
      <c r="F376" s="163" t="str">
        <f t="shared" si="39"/>
        <v/>
      </c>
      <c r="G376" s="162"/>
      <c r="H376" s="162"/>
      <c r="I376" s="162"/>
      <c r="J376" s="164" t="str">
        <f t="shared" si="35"/>
        <v/>
      </c>
      <c r="K376" s="165" t="str">
        <f t="shared" si="36"/>
        <v/>
      </c>
      <c r="L376" s="165" t="str">
        <f t="shared" si="40"/>
        <v/>
      </c>
      <c r="M376" s="166" t="str">
        <f t="shared" si="37"/>
        <v/>
      </c>
      <c r="N376" s="167" t="str">
        <f t="shared" si="38"/>
        <v/>
      </c>
    </row>
    <row r="377" spans="1:14" ht="18" x14ac:dyDescent="0.35">
      <c r="A377" t="str">
        <f>IFERROR(B377&amp;" "&amp;COUNTIFS($B$4:B377,B377),"")</f>
        <v xml:space="preserve"> 0</v>
      </c>
      <c r="B377" s="169"/>
      <c r="C377" s="162"/>
      <c r="D377" s="162"/>
      <c r="E377" s="162"/>
      <c r="F377" s="163" t="str">
        <f t="shared" si="39"/>
        <v/>
      </c>
      <c r="G377" s="162"/>
      <c r="H377" s="162"/>
      <c r="I377" s="162"/>
      <c r="J377" s="164" t="str">
        <f t="shared" si="35"/>
        <v/>
      </c>
      <c r="K377" s="165" t="str">
        <f t="shared" si="36"/>
        <v/>
      </c>
      <c r="L377" s="165" t="str">
        <f t="shared" si="40"/>
        <v/>
      </c>
      <c r="M377" s="166" t="str">
        <f t="shared" si="37"/>
        <v/>
      </c>
      <c r="N377" s="167" t="str">
        <f t="shared" si="38"/>
        <v/>
      </c>
    </row>
    <row r="378" spans="1:14" ht="18" x14ac:dyDescent="0.35">
      <c r="A378" t="str">
        <f>IFERROR(B378&amp;" "&amp;COUNTIFS($B$4:B378,B378),"")</f>
        <v xml:space="preserve"> 0</v>
      </c>
      <c r="B378" s="169"/>
      <c r="C378" s="162"/>
      <c r="D378" s="162"/>
      <c r="E378" s="162"/>
      <c r="F378" s="163" t="str">
        <f t="shared" si="39"/>
        <v/>
      </c>
      <c r="G378" s="162"/>
      <c r="H378" s="162"/>
      <c r="I378" s="162"/>
      <c r="J378" s="164" t="str">
        <f t="shared" si="35"/>
        <v/>
      </c>
      <c r="K378" s="165" t="str">
        <f t="shared" si="36"/>
        <v/>
      </c>
      <c r="L378" s="165" t="str">
        <f t="shared" si="40"/>
        <v/>
      </c>
      <c r="M378" s="166" t="str">
        <f t="shared" si="37"/>
        <v/>
      </c>
      <c r="N378" s="167" t="str">
        <f t="shared" si="38"/>
        <v/>
      </c>
    </row>
    <row r="379" spans="1:14" ht="18" x14ac:dyDescent="0.35">
      <c r="A379" t="str">
        <f>IFERROR(B379&amp;" "&amp;COUNTIFS($B$4:B379,B379),"")</f>
        <v xml:space="preserve"> 0</v>
      </c>
      <c r="B379" s="169"/>
      <c r="C379" s="162"/>
      <c r="D379" s="162"/>
      <c r="E379" s="162"/>
      <c r="F379" s="163" t="str">
        <f t="shared" si="39"/>
        <v/>
      </c>
      <c r="G379" s="162"/>
      <c r="H379" s="162"/>
      <c r="I379" s="162"/>
      <c r="J379" s="164" t="str">
        <f t="shared" ref="J379:J442" si="41">IFERROR(VLOOKUP(B379,data_kas3,12,FALSE),"")</f>
        <v/>
      </c>
      <c r="K379" s="165" t="str">
        <f t="shared" ref="K379:K442" si="42">IFERROR(VLOOKUP(B379,data_kas3,3,FALSE),"")</f>
        <v/>
      </c>
      <c r="L379" s="165" t="str">
        <f t="shared" si="40"/>
        <v/>
      </c>
      <c r="M379" s="166" t="str">
        <f t="shared" ref="M379:M442" si="43">IFERROR(VLOOKUP(B379,data_kas3,5,FALSE),"")</f>
        <v/>
      </c>
      <c r="N379" s="167" t="str">
        <f t="shared" si="38"/>
        <v/>
      </c>
    </row>
    <row r="380" spans="1:14" ht="18" x14ac:dyDescent="0.35">
      <c r="A380" t="str">
        <f>IFERROR(B380&amp;" "&amp;COUNTIFS($B$4:B380,B380),"")</f>
        <v xml:space="preserve"> 0</v>
      </c>
      <c r="B380" s="169"/>
      <c r="C380" s="162"/>
      <c r="D380" s="162"/>
      <c r="E380" s="162"/>
      <c r="F380" s="163" t="str">
        <f t="shared" si="39"/>
        <v/>
      </c>
      <c r="G380" s="162"/>
      <c r="H380" s="162"/>
      <c r="I380" s="162"/>
      <c r="J380" s="164" t="str">
        <f t="shared" si="41"/>
        <v/>
      </c>
      <c r="K380" s="165" t="str">
        <f t="shared" si="42"/>
        <v/>
      </c>
      <c r="L380" s="165" t="str">
        <f t="shared" si="40"/>
        <v/>
      </c>
      <c r="M380" s="166" t="str">
        <f t="shared" si="43"/>
        <v/>
      </c>
      <c r="N380" s="167" t="str">
        <f t="shared" ref="N380:N443" si="44">IF(K380="","",K380*M380)</f>
        <v/>
      </c>
    </row>
    <row r="381" spans="1:14" ht="18" x14ac:dyDescent="0.35">
      <c r="A381" t="str">
        <f>IFERROR(B381&amp;" "&amp;COUNTIFS($B$4:B381,B381),"")</f>
        <v xml:space="preserve"> 0</v>
      </c>
      <c r="B381" s="169"/>
      <c r="C381" s="162"/>
      <c r="D381" s="162"/>
      <c r="E381" s="162"/>
      <c r="F381" s="163" t="str">
        <f t="shared" si="39"/>
        <v/>
      </c>
      <c r="G381" s="162"/>
      <c r="H381" s="162"/>
      <c r="I381" s="162"/>
      <c r="J381" s="164" t="str">
        <f t="shared" si="41"/>
        <v/>
      </c>
      <c r="K381" s="165" t="str">
        <f t="shared" si="42"/>
        <v/>
      </c>
      <c r="L381" s="165" t="str">
        <f t="shared" si="40"/>
        <v/>
      </c>
      <c r="M381" s="166" t="str">
        <f t="shared" si="43"/>
        <v/>
      </c>
      <c r="N381" s="167" t="str">
        <f t="shared" si="44"/>
        <v/>
      </c>
    </row>
    <row r="382" spans="1:14" ht="18" x14ac:dyDescent="0.35">
      <c r="A382" t="str">
        <f>IFERROR(B382&amp;" "&amp;COUNTIFS($B$4:B382,B382),"")</f>
        <v xml:space="preserve"> 0</v>
      </c>
      <c r="B382" s="169"/>
      <c r="C382" s="162"/>
      <c r="D382" s="162"/>
      <c r="E382" s="162"/>
      <c r="F382" s="163" t="str">
        <f t="shared" si="39"/>
        <v/>
      </c>
      <c r="G382" s="162"/>
      <c r="H382" s="162"/>
      <c r="I382" s="162"/>
      <c r="J382" s="164" t="str">
        <f t="shared" si="41"/>
        <v/>
      </c>
      <c r="K382" s="165" t="str">
        <f t="shared" si="42"/>
        <v/>
      </c>
      <c r="L382" s="165" t="str">
        <f t="shared" si="40"/>
        <v/>
      </c>
      <c r="M382" s="166" t="str">
        <f t="shared" si="43"/>
        <v/>
      </c>
      <c r="N382" s="167" t="str">
        <f t="shared" si="44"/>
        <v/>
      </c>
    </row>
    <row r="383" spans="1:14" ht="18" x14ac:dyDescent="0.35">
      <c r="A383" t="str">
        <f>IFERROR(B383&amp;" "&amp;COUNTIFS($B$4:B383,B383),"")</f>
        <v xml:space="preserve"> 0</v>
      </c>
      <c r="B383" s="169"/>
      <c r="C383" s="162"/>
      <c r="D383" s="162"/>
      <c r="E383" s="162"/>
      <c r="F383" s="163" t="str">
        <f t="shared" si="39"/>
        <v/>
      </c>
      <c r="G383" s="162"/>
      <c r="H383" s="162"/>
      <c r="I383" s="162"/>
      <c r="J383" s="164" t="str">
        <f t="shared" si="41"/>
        <v/>
      </c>
      <c r="K383" s="165" t="str">
        <f t="shared" si="42"/>
        <v/>
      </c>
      <c r="L383" s="165" t="str">
        <f t="shared" si="40"/>
        <v/>
      </c>
      <c r="M383" s="166" t="str">
        <f t="shared" si="43"/>
        <v/>
      </c>
      <c r="N383" s="167" t="str">
        <f t="shared" si="44"/>
        <v/>
      </c>
    </row>
    <row r="384" spans="1:14" ht="18" x14ac:dyDescent="0.35">
      <c r="A384" t="str">
        <f>IFERROR(B384&amp;" "&amp;COUNTIFS($B$4:B384,B384),"")</f>
        <v xml:space="preserve"> 0</v>
      </c>
      <c r="B384" s="169"/>
      <c r="C384" s="162"/>
      <c r="D384" s="162"/>
      <c r="E384" s="162"/>
      <c r="F384" s="163" t="str">
        <f t="shared" si="39"/>
        <v/>
      </c>
      <c r="G384" s="162"/>
      <c r="H384" s="162"/>
      <c r="I384" s="162"/>
      <c r="J384" s="164" t="str">
        <f t="shared" si="41"/>
        <v/>
      </c>
      <c r="K384" s="165" t="str">
        <f t="shared" si="42"/>
        <v/>
      </c>
      <c r="L384" s="165" t="str">
        <f t="shared" si="40"/>
        <v/>
      </c>
      <c r="M384" s="166" t="str">
        <f t="shared" si="43"/>
        <v/>
      </c>
      <c r="N384" s="167" t="str">
        <f t="shared" si="44"/>
        <v/>
      </c>
    </row>
    <row r="385" spans="1:14" ht="18" x14ac:dyDescent="0.35">
      <c r="A385" t="str">
        <f>IFERROR(B385&amp;" "&amp;COUNTIFS($B$4:B385,B385),"")</f>
        <v xml:space="preserve"> 0</v>
      </c>
      <c r="B385" s="169"/>
      <c r="C385" s="162"/>
      <c r="D385" s="162"/>
      <c r="E385" s="162"/>
      <c r="F385" s="163" t="str">
        <f t="shared" si="39"/>
        <v/>
      </c>
      <c r="G385" s="162"/>
      <c r="H385" s="162"/>
      <c r="I385" s="162"/>
      <c r="J385" s="164" t="str">
        <f t="shared" si="41"/>
        <v/>
      </c>
      <c r="K385" s="165" t="str">
        <f t="shared" si="42"/>
        <v/>
      </c>
      <c r="L385" s="165" t="str">
        <f t="shared" si="40"/>
        <v/>
      </c>
      <c r="M385" s="166" t="str">
        <f t="shared" si="43"/>
        <v/>
      </c>
      <c r="N385" s="167" t="str">
        <f t="shared" si="44"/>
        <v/>
      </c>
    </row>
    <row r="386" spans="1:14" ht="18" x14ac:dyDescent="0.35">
      <c r="A386" t="str">
        <f>IFERROR(B386&amp;" "&amp;COUNTIFS($B$4:B386,B386),"")</f>
        <v xml:space="preserve"> 0</v>
      </c>
      <c r="B386" s="169"/>
      <c r="C386" s="162"/>
      <c r="D386" s="162"/>
      <c r="E386" s="162"/>
      <c r="F386" s="163" t="str">
        <f t="shared" si="39"/>
        <v/>
      </c>
      <c r="G386" s="162"/>
      <c r="H386" s="162"/>
      <c r="I386" s="162"/>
      <c r="J386" s="164" t="str">
        <f t="shared" si="41"/>
        <v/>
      </c>
      <c r="K386" s="165" t="str">
        <f t="shared" si="42"/>
        <v/>
      </c>
      <c r="L386" s="165" t="str">
        <f t="shared" si="40"/>
        <v/>
      </c>
      <c r="M386" s="166" t="str">
        <f t="shared" si="43"/>
        <v/>
      </c>
      <c r="N386" s="167" t="str">
        <f t="shared" si="44"/>
        <v/>
      </c>
    </row>
    <row r="387" spans="1:14" ht="18" x14ac:dyDescent="0.35">
      <c r="A387" t="str">
        <f>IFERROR(B387&amp;" "&amp;COUNTIFS($B$4:B387,B387),"")</f>
        <v xml:space="preserve"> 0</v>
      </c>
      <c r="B387" s="169"/>
      <c r="C387" s="162"/>
      <c r="D387" s="162"/>
      <c r="E387" s="162"/>
      <c r="F387" s="163" t="str">
        <f t="shared" si="39"/>
        <v/>
      </c>
      <c r="G387" s="162"/>
      <c r="H387" s="162"/>
      <c r="I387" s="162"/>
      <c r="J387" s="164" t="str">
        <f t="shared" si="41"/>
        <v/>
      </c>
      <c r="K387" s="165" t="str">
        <f t="shared" si="42"/>
        <v/>
      </c>
      <c r="L387" s="165" t="str">
        <f t="shared" si="40"/>
        <v/>
      </c>
      <c r="M387" s="166" t="str">
        <f t="shared" si="43"/>
        <v/>
      </c>
      <c r="N387" s="167" t="str">
        <f t="shared" si="44"/>
        <v/>
      </c>
    </row>
    <row r="388" spans="1:14" ht="18" x14ac:dyDescent="0.35">
      <c r="A388" t="str">
        <f>IFERROR(B388&amp;" "&amp;COUNTIFS($B$4:B388,B388),"")</f>
        <v xml:space="preserve"> 0</v>
      </c>
      <c r="B388" s="169"/>
      <c r="C388" s="162"/>
      <c r="D388" s="162"/>
      <c r="E388" s="162"/>
      <c r="F388" s="163" t="str">
        <f t="shared" ref="F388:F451" si="45">IFERROR(VLOOKUP(E388,data_guru,3,FALSE),"")</f>
        <v/>
      </c>
      <c r="G388" s="162"/>
      <c r="H388" s="162"/>
      <c r="I388" s="162"/>
      <c r="J388" s="164" t="str">
        <f t="shared" si="41"/>
        <v/>
      </c>
      <c r="K388" s="165" t="str">
        <f t="shared" si="42"/>
        <v/>
      </c>
      <c r="L388" s="165" t="str">
        <f t="shared" ref="L388:L451" si="46">IFERROR(VLOOKUP(B388,data_kas3,4,FALSE),"")</f>
        <v/>
      </c>
      <c r="M388" s="166" t="str">
        <f t="shared" si="43"/>
        <v/>
      </c>
      <c r="N388" s="167" t="str">
        <f t="shared" si="44"/>
        <v/>
      </c>
    </row>
    <row r="389" spans="1:14" ht="18" x14ac:dyDescent="0.35">
      <c r="A389" t="str">
        <f>IFERROR(B389&amp;" "&amp;COUNTIFS($B$4:B389,B389),"")</f>
        <v xml:space="preserve"> 0</v>
      </c>
      <c r="B389" s="169"/>
      <c r="C389" s="162"/>
      <c r="D389" s="162"/>
      <c r="E389" s="162"/>
      <c r="F389" s="163" t="str">
        <f t="shared" si="45"/>
        <v/>
      </c>
      <c r="G389" s="162"/>
      <c r="H389" s="162"/>
      <c r="I389" s="162"/>
      <c r="J389" s="164" t="str">
        <f t="shared" si="41"/>
        <v/>
      </c>
      <c r="K389" s="165" t="str">
        <f t="shared" si="42"/>
        <v/>
      </c>
      <c r="L389" s="165" t="str">
        <f t="shared" si="46"/>
        <v/>
      </c>
      <c r="M389" s="166" t="str">
        <f t="shared" si="43"/>
        <v/>
      </c>
      <c r="N389" s="167" t="str">
        <f t="shared" si="44"/>
        <v/>
      </c>
    </row>
    <row r="390" spans="1:14" ht="18" x14ac:dyDescent="0.35">
      <c r="A390" t="str">
        <f>IFERROR(B390&amp;" "&amp;COUNTIFS($B$4:B390,B390),"")</f>
        <v xml:space="preserve"> 0</v>
      </c>
      <c r="B390" s="169"/>
      <c r="C390" s="162"/>
      <c r="D390" s="162"/>
      <c r="E390" s="162"/>
      <c r="F390" s="163" t="str">
        <f t="shared" si="45"/>
        <v/>
      </c>
      <c r="G390" s="162"/>
      <c r="H390" s="162"/>
      <c r="I390" s="162"/>
      <c r="J390" s="164" t="str">
        <f t="shared" si="41"/>
        <v/>
      </c>
      <c r="K390" s="165" t="str">
        <f t="shared" si="42"/>
        <v/>
      </c>
      <c r="L390" s="165" t="str">
        <f t="shared" si="46"/>
        <v/>
      </c>
      <c r="M390" s="166" t="str">
        <f t="shared" si="43"/>
        <v/>
      </c>
      <c r="N390" s="167" t="str">
        <f t="shared" si="44"/>
        <v/>
      </c>
    </row>
    <row r="391" spans="1:14" ht="18" x14ac:dyDescent="0.35">
      <c r="A391" t="str">
        <f>IFERROR(B391&amp;" "&amp;COUNTIFS($B$4:B391,B391),"")</f>
        <v xml:space="preserve"> 0</v>
      </c>
      <c r="B391" s="169"/>
      <c r="C391" s="162"/>
      <c r="D391" s="162"/>
      <c r="E391" s="162"/>
      <c r="F391" s="163" t="str">
        <f t="shared" si="45"/>
        <v/>
      </c>
      <c r="G391" s="162"/>
      <c r="H391" s="162"/>
      <c r="I391" s="162"/>
      <c r="J391" s="164" t="str">
        <f t="shared" si="41"/>
        <v/>
      </c>
      <c r="K391" s="165" t="str">
        <f t="shared" si="42"/>
        <v/>
      </c>
      <c r="L391" s="165" t="str">
        <f t="shared" si="46"/>
        <v/>
      </c>
      <c r="M391" s="166" t="str">
        <f t="shared" si="43"/>
        <v/>
      </c>
      <c r="N391" s="167" t="str">
        <f t="shared" si="44"/>
        <v/>
      </c>
    </row>
    <row r="392" spans="1:14" ht="18" x14ac:dyDescent="0.35">
      <c r="A392" t="str">
        <f>IFERROR(B392&amp;" "&amp;COUNTIFS($B$4:B392,B392),"")</f>
        <v xml:space="preserve"> 0</v>
      </c>
      <c r="B392" s="169"/>
      <c r="C392" s="162"/>
      <c r="D392" s="162"/>
      <c r="E392" s="162"/>
      <c r="F392" s="163" t="str">
        <f t="shared" si="45"/>
        <v/>
      </c>
      <c r="G392" s="162"/>
      <c r="H392" s="162"/>
      <c r="I392" s="162"/>
      <c r="J392" s="164" t="str">
        <f t="shared" si="41"/>
        <v/>
      </c>
      <c r="K392" s="165" t="str">
        <f t="shared" si="42"/>
        <v/>
      </c>
      <c r="L392" s="165" t="str">
        <f t="shared" si="46"/>
        <v/>
      </c>
      <c r="M392" s="166" t="str">
        <f t="shared" si="43"/>
        <v/>
      </c>
      <c r="N392" s="167" t="str">
        <f t="shared" si="44"/>
        <v/>
      </c>
    </row>
    <row r="393" spans="1:14" ht="18" x14ac:dyDescent="0.35">
      <c r="A393" t="str">
        <f>IFERROR(B393&amp;" "&amp;COUNTIFS($B$4:B393,B393),"")</f>
        <v xml:space="preserve"> 0</v>
      </c>
      <c r="B393" s="169"/>
      <c r="C393" s="162"/>
      <c r="D393" s="162"/>
      <c r="E393" s="162"/>
      <c r="F393" s="163" t="str">
        <f t="shared" si="45"/>
        <v/>
      </c>
      <c r="G393" s="162"/>
      <c r="H393" s="162"/>
      <c r="I393" s="162"/>
      <c r="J393" s="164" t="str">
        <f t="shared" si="41"/>
        <v/>
      </c>
      <c r="K393" s="165" t="str">
        <f t="shared" si="42"/>
        <v/>
      </c>
      <c r="L393" s="165" t="str">
        <f t="shared" si="46"/>
        <v/>
      </c>
      <c r="M393" s="166" t="str">
        <f t="shared" si="43"/>
        <v/>
      </c>
      <c r="N393" s="167" t="str">
        <f t="shared" si="44"/>
        <v/>
      </c>
    </row>
    <row r="394" spans="1:14" ht="18" x14ac:dyDescent="0.35">
      <c r="A394" t="str">
        <f>IFERROR(B394&amp;" "&amp;COUNTIFS($B$4:B394,B394),"")</f>
        <v xml:space="preserve"> 0</v>
      </c>
      <c r="B394" s="169"/>
      <c r="C394" s="162"/>
      <c r="D394" s="162"/>
      <c r="E394" s="162"/>
      <c r="F394" s="163" t="str">
        <f t="shared" si="45"/>
        <v/>
      </c>
      <c r="G394" s="162"/>
      <c r="H394" s="162"/>
      <c r="I394" s="162"/>
      <c r="J394" s="164" t="str">
        <f t="shared" si="41"/>
        <v/>
      </c>
      <c r="K394" s="165" t="str">
        <f t="shared" si="42"/>
        <v/>
      </c>
      <c r="L394" s="165" t="str">
        <f t="shared" si="46"/>
        <v/>
      </c>
      <c r="M394" s="166" t="str">
        <f t="shared" si="43"/>
        <v/>
      </c>
      <c r="N394" s="167" t="str">
        <f t="shared" si="44"/>
        <v/>
      </c>
    </row>
    <row r="395" spans="1:14" ht="18" x14ac:dyDescent="0.35">
      <c r="A395" t="str">
        <f>IFERROR(B395&amp;" "&amp;COUNTIFS($B$4:B395,B395),"")</f>
        <v xml:space="preserve"> 0</v>
      </c>
      <c r="B395" s="169"/>
      <c r="C395" s="162"/>
      <c r="D395" s="162"/>
      <c r="E395" s="162"/>
      <c r="F395" s="163" t="str">
        <f t="shared" si="45"/>
        <v/>
      </c>
      <c r="G395" s="162"/>
      <c r="H395" s="162"/>
      <c r="I395" s="162"/>
      <c r="J395" s="164" t="str">
        <f t="shared" si="41"/>
        <v/>
      </c>
      <c r="K395" s="165" t="str">
        <f t="shared" si="42"/>
        <v/>
      </c>
      <c r="L395" s="165" t="str">
        <f t="shared" si="46"/>
        <v/>
      </c>
      <c r="M395" s="166" t="str">
        <f t="shared" si="43"/>
        <v/>
      </c>
      <c r="N395" s="167" t="str">
        <f t="shared" si="44"/>
        <v/>
      </c>
    </row>
    <row r="396" spans="1:14" ht="18" x14ac:dyDescent="0.35">
      <c r="A396" t="str">
        <f>IFERROR(B396&amp;" "&amp;COUNTIFS($B$4:B396,B396),"")</f>
        <v xml:space="preserve"> 0</v>
      </c>
      <c r="B396" s="169"/>
      <c r="C396" s="162"/>
      <c r="D396" s="162"/>
      <c r="E396" s="162"/>
      <c r="F396" s="163" t="str">
        <f t="shared" si="45"/>
        <v/>
      </c>
      <c r="G396" s="162"/>
      <c r="H396" s="162"/>
      <c r="I396" s="162"/>
      <c r="J396" s="164" t="str">
        <f t="shared" si="41"/>
        <v/>
      </c>
      <c r="K396" s="165" t="str">
        <f t="shared" si="42"/>
        <v/>
      </c>
      <c r="L396" s="165" t="str">
        <f t="shared" si="46"/>
        <v/>
      </c>
      <c r="M396" s="166" t="str">
        <f t="shared" si="43"/>
        <v/>
      </c>
      <c r="N396" s="167" t="str">
        <f t="shared" si="44"/>
        <v/>
      </c>
    </row>
    <row r="397" spans="1:14" ht="18" x14ac:dyDescent="0.35">
      <c r="A397" t="str">
        <f>IFERROR(B397&amp;" "&amp;COUNTIFS($B$4:B397,B397),"")</f>
        <v xml:space="preserve"> 0</v>
      </c>
      <c r="B397" s="169"/>
      <c r="C397" s="162"/>
      <c r="D397" s="162"/>
      <c r="E397" s="162"/>
      <c r="F397" s="163" t="str">
        <f t="shared" si="45"/>
        <v/>
      </c>
      <c r="G397" s="162"/>
      <c r="H397" s="162"/>
      <c r="I397" s="162"/>
      <c r="J397" s="164" t="str">
        <f t="shared" si="41"/>
        <v/>
      </c>
      <c r="K397" s="165" t="str">
        <f t="shared" si="42"/>
        <v/>
      </c>
      <c r="L397" s="165" t="str">
        <f t="shared" si="46"/>
        <v/>
      </c>
      <c r="M397" s="166" t="str">
        <f t="shared" si="43"/>
        <v/>
      </c>
      <c r="N397" s="167" t="str">
        <f t="shared" si="44"/>
        <v/>
      </c>
    </row>
    <row r="398" spans="1:14" ht="18" x14ac:dyDescent="0.35">
      <c r="A398" t="str">
        <f>IFERROR(B398&amp;" "&amp;COUNTIFS($B$4:B398,B398),"")</f>
        <v xml:space="preserve"> 0</v>
      </c>
      <c r="B398" s="169"/>
      <c r="C398" s="162"/>
      <c r="D398" s="162"/>
      <c r="E398" s="162"/>
      <c r="F398" s="163" t="str">
        <f t="shared" si="45"/>
        <v/>
      </c>
      <c r="G398" s="162"/>
      <c r="H398" s="162"/>
      <c r="I398" s="162"/>
      <c r="J398" s="164" t="str">
        <f t="shared" si="41"/>
        <v/>
      </c>
      <c r="K398" s="165" t="str">
        <f t="shared" si="42"/>
        <v/>
      </c>
      <c r="L398" s="165" t="str">
        <f t="shared" si="46"/>
        <v/>
      </c>
      <c r="M398" s="166" t="str">
        <f t="shared" si="43"/>
        <v/>
      </c>
      <c r="N398" s="167" t="str">
        <f t="shared" si="44"/>
        <v/>
      </c>
    </row>
    <row r="399" spans="1:14" ht="18" x14ac:dyDescent="0.35">
      <c r="A399" t="str">
        <f>IFERROR(B399&amp;" "&amp;COUNTIFS($B$4:B399,B399),"")</f>
        <v xml:space="preserve"> 0</v>
      </c>
      <c r="B399" s="169"/>
      <c r="C399" s="162"/>
      <c r="D399" s="162"/>
      <c r="E399" s="162"/>
      <c r="F399" s="163" t="str">
        <f t="shared" si="45"/>
        <v/>
      </c>
      <c r="G399" s="162"/>
      <c r="H399" s="162"/>
      <c r="I399" s="162"/>
      <c r="J399" s="164" t="str">
        <f t="shared" si="41"/>
        <v/>
      </c>
      <c r="K399" s="165" t="str">
        <f t="shared" si="42"/>
        <v/>
      </c>
      <c r="L399" s="165" t="str">
        <f t="shared" si="46"/>
        <v/>
      </c>
      <c r="M399" s="166" t="str">
        <f t="shared" si="43"/>
        <v/>
      </c>
      <c r="N399" s="167" t="str">
        <f t="shared" si="44"/>
        <v/>
      </c>
    </row>
    <row r="400" spans="1:14" ht="18" x14ac:dyDescent="0.35">
      <c r="A400" t="str">
        <f>IFERROR(B400&amp;" "&amp;COUNTIFS($B$4:B400,B400),"")</f>
        <v xml:space="preserve"> 0</v>
      </c>
      <c r="B400" s="169"/>
      <c r="C400" s="162"/>
      <c r="D400" s="162"/>
      <c r="E400" s="162"/>
      <c r="F400" s="163" t="str">
        <f t="shared" si="45"/>
        <v/>
      </c>
      <c r="G400" s="162"/>
      <c r="H400" s="162"/>
      <c r="I400" s="162"/>
      <c r="J400" s="164" t="str">
        <f t="shared" si="41"/>
        <v/>
      </c>
      <c r="K400" s="165" t="str">
        <f t="shared" si="42"/>
        <v/>
      </c>
      <c r="L400" s="165" t="str">
        <f t="shared" si="46"/>
        <v/>
      </c>
      <c r="M400" s="166" t="str">
        <f t="shared" si="43"/>
        <v/>
      </c>
      <c r="N400" s="167" t="str">
        <f t="shared" si="44"/>
        <v/>
      </c>
    </row>
    <row r="401" spans="1:14" ht="18" x14ac:dyDescent="0.35">
      <c r="A401" t="str">
        <f>IFERROR(B401&amp;" "&amp;COUNTIFS($B$4:B401,B401),"")</f>
        <v xml:space="preserve"> 0</v>
      </c>
      <c r="B401" s="169"/>
      <c r="C401" s="162"/>
      <c r="D401" s="162"/>
      <c r="E401" s="162"/>
      <c r="F401" s="163" t="str">
        <f t="shared" si="45"/>
        <v/>
      </c>
      <c r="G401" s="162"/>
      <c r="H401" s="162"/>
      <c r="I401" s="162"/>
      <c r="J401" s="164" t="str">
        <f t="shared" si="41"/>
        <v/>
      </c>
      <c r="K401" s="165" t="str">
        <f t="shared" si="42"/>
        <v/>
      </c>
      <c r="L401" s="165" t="str">
        <f t="shared" si="46"/>
        <v/>
      </c>
      <c r="M401" s="166" t="str">
        <f t="shared" si="43"/>
        <v/>
      </c>
      <c r="N401" s="167" t="str">
        <f t="shared" si="44"/>
        <v/>
      </c>
    </row>
    <row r="402" spans="1:14" ht="18" x14ac:dyDescent="0.35">
      <c r="A402" t="str">
        <f>IFERROR(B402&amp;" "&amp;COUNTIFS($B$4:B402,B402),"")</f>
        <v xml:space="preserve"> 0</v>
      </c>
      <c r="B402" s="169"/>
      <c r="C402" s="162"/>
      <c r="D402" s="162"/>
      <c r="E402" s="162"/>
      <c r="F402" s="163" t="str">
        <f t="shared" si="45"/>
        <v/>
      </c>
      <c r="G402" s="162"/>
      <c r="H402" s="162"/>
      <c r="I402" s="162"/>
      <c r="J402" s="164" t="str">
        <f t="shared" si="41"/>
        <v/>
      </c>
      <c r="K402" s="165" t="str">
        <f t="shared" si="42"/>
        <v/>
      </c>
      <c r="L402" s="165" t="str">
        <f t="shared" si="46"/>
        <v/>
      </c>
      <c r="M402" s="166" t="str">
        <f t="shared" si="43"/>
        <v/>
      </c>
      <c r="N402" s="167" t="str">
        <f t="shared" si="44"/>
        <v/>
      </c>
    </row>
    <row r="403" spans="1:14" ht="18" x14ac:dyDescent="0.35">
      <c r="A403" t="str">
        <f>IFERROR(B403&amp;" "&amp;COUNTIFS($B$4:B403,B403),"")</f>
        <v xml:space="preserve"> 0</v>
      </c>
      <c r="B403" s="169"/>
      <c r="C403" s="162"/>
      <c r="D403" s="162"/>
      <c r="E403" s="162"/>
      <c r="F403" s="163" t="str">
        <f t="shared" si="45"/>
        <v/>
      </c>
      <c r="G403" s="162"/>
      <c r="H403" s="162"/>
      <c r="I403" s="162"/>
      <c r="J403" s="164" t="str">
        <f t="shared" si="41"/>
        <v/>
      </c>
      <c r="K403" s="165" t="str">
        <f t="shared" si="42"/>
        <v/>
      </c>
      <c r="L403" s="165" t="str">
        <f t="shared" si="46"/>
        <v/>
      </c>
      <c r="M403" s="166" t="str">
        <f t="shared" si="43"/>
        <v/>
      </c>
      <c r="N403" s="167" t="str">
        <f t="shared" si="44"/>
        <v/>
      </c>
    </row>
    <row r="404" spans="1:14" ht="18" x14ac:dyDescent="0.35">
      <c r="A404" t="str">
        <f>IFERROR(B404&amp;" "&amp;COUNTIFS($B$4:B404,B404),"")</f>
        <v xml:space="preserve"> 0</v>
      </c>
      <c r="B404" s="169"/>
      <c r="C404" s="162"/>
      <c r="D404" s="162"/>
      <c r="E404" s="162"/>
      <c r="F404" s="163" t="str">
        <f t="shared" si="45"/>
        <v/>
      </c>
      <c r="G404" s="162"/>
      <c r="H404" s="162"/>
      <c r="I404" s="162"/>
      <c r="J404" s="164" t="str">
        <f t="shared" si="41"/>
        <v/>
      </c>
      <c r="K404" s="165" t="str">
        <f t="shared" si="42"/>
        <v/>
      </c>
      <c r="L404" s="165" t="str">
        <f t="shared" si="46"/>
        <v/>
      </c>
      <c r="M404" s="166" t="str">
        <f t="shared" si="43"/>
        <v/>
      </c>
      <c r="N404" s="167" t="str">
        <f t="shared" si="44"/>
        <v/>
      </c>
    </row>
    <row r="405" spans="1:14" ht="18" x14ac:dyDescent="0.35">
      <c r="A405" t="str">
        <f>IFERROR(B405&amp;" "&amp;COUNTIFS($B$4:B405,B405),"")</f>
        <v xml:space="preserve"> 0</v>
      </c>
      <c r="B405" s="169"/>
      <c r="C405" s="162"/>
      <c r="D405" s="162"/>
      <c r="E405" s="162"/>
      <c r="F405" s="163" t="str">
        <f t="shared" si="45"/>
        <v/>
      </c>
      <c r="G405" s="162"/>
      <c r="H405" s="162"/>
      <c r="I405" s="162"/>
      <c r="J405" s="164" t="str">
        <f t="shared" si="41"/>
        <v/>
      </c>
      <c r="K405" s="165" t="str">
        <f t="shared" si="42"/>
        <v/>
      </c>
      <c r="L405" s="165" t="str">
        <f t="shared" si="46"/>
        <v/>
      </c>
      <c r="M405" s="166" t="str">
        <f t="shared" si="43"/>
        <v/>
      </c>
      <c r="N405" s="167" t="str">
        <f t="shared" si="44"/>
        <v/>
      </c>
    </row>
    <row r="406" spans="1:14" ht="18" x14ac:dyDescent="0.35">
      <c r="A406" t="str">
        <f>IFERROR(B406&amp;" "&amp;COUNTIFS($B$4:B406,B406),"")</f>
        <v xml:space="preserve"> 0</v>
      </c>
      <c r="B406" s="169"/>
      <c r="C406" s="162"/>
      <c r="D406" s="162"/>
      <c r="E406" s="162"/>
      <c r="F406" s="163" t="str">
        <f t="shared" si="45"/>
        <v/>
      </c>
      <c r="G406" s="162"/>
      <c r="H406" s="162"/>
      <c r="I406" s="162"/>
      <c r="J406" s="164" t="str">
        <f t="shared" si="41"/>
        <v/>
      </c>
      <c r="K406" s="165" t="str">
        <f t="shared" si="42"/>
        <v/>
      </c>
      <c r="L406" s="165" t="str">
        <f t="shared" si="46"/>
        <v/>
      </c>
      <c r="M406" s="166" t="str">
        <f t="shared" si="43"/>
        <v/>
      </c>
      <c r="N406" s="167" t="str">
        <f t="shared" si="44"/>
        <v/>
      </c>
    </row>
    <row r="407" spans="1:14" ht="18" x14ac:dyDescent="0.35">
      <c r="A407" t="str">
        <f>IFERROR(B407&amp;" "&amp;COUNTIFS($B$4:B407,B407),"")</f>
        <v xml:space="preserve"> 0</v>
      </c>
      <c r="B407" s="169"/>
      <c r="C407" s="162"/>
      <c r="D407" s="162"/>
      <c r="E407" s="162"/>
      <c r="F407" s="163" t="str">
        <f t="shared" si="45"/>
        <v/>
      </c>
      <c r="G407" s="162"/>
      <c r="H407" s="162"/>
      <c r="I407" s="162"/>
      <c r="J407" s="164" t="str">
        <f t="shared" si="41"/>
        <v/>
      </c>
      <c r="K407" s="165" t="str">
        <f t="shared" si="42"/>
        <v/>
      </c>
      <c r="L407" s="165" t="str">
        <f t="shared" si="46"/>
        <v/>
      </c>
      <c r="M407" s="166" t="str">
        <f t="shared" si="43"/>
        <v/>
      </c>
      <c r="N407" s="167" t="str">
        <f t="shared" si="44"/>
        <v/>
      </c>
    </row>
    <row r="408" spans="1:14" ht="18" x14ac:dyDescent="0.35">
      <c r="A408" t="str">
        <f>IFERROR(B408&amp;" "&amp;COUNTIFS($B$4:B408,B408),"")</f>
        <v xml:space="preserve"> 0</v>
      </c>
      <c r="B408" s="169"/>
      <c r="C408" s="162"/>
      <c r="D408" s="162"/>
      <c r="E408" s="162"/>
      <c r="F408" s="163" t="str">
        <f t="shared" si="45"/>
        <v/>
      </c>
      <c r="G408" s="162"/>
      <c r="H408" s="162"/>
      <c r="I408" s="162"/>
      <c r="J408" s="164" t="str">
        <f t="shared" si="41"/>
        <v/>
      </c>
      <c r="K408" s="165" t="str">
        <f t="shared" si="42"/>
        <v/>
      </c>
      <c r="L408" s="165" t="str">
        <f t="shared" si="46"/>
        <v/>
      </c>
      <c r="M408" s="166" t="str">
        <f t="shared" si="43"/>
        <v/>
      </c>
      <c r="N408" s="167" t="str">
        <f t="shared" si="44"/>
        <v/>
      </c>
    </row>
    <row r="409" spans="1:14" ht="18" x14ac:dyDescent="0.35">
      <c r="A409" t="str">
        <f>IFERROR(B409&amp;" "&amp;COUNTIFS($B$4:B409,B409),"")</f>
        <v xml:space="preserve"> 0</v>
      </c>
      <c r="B409" s="169"/>
      <c r="C409" s="162"/>
      <c r="D409" s="162"/>
      <c r="E409" s="162"/>
      <c r="F409" s="163" t="str">
        <f t="shared" si="45"/>
        <v/>
      </c>
      <c r="G409" s="162"/>
      <c r="H409" s="162"/>
      <c r="I409" s="162"/>
      <c r="J409" s="164" t="str">
        <f t="shared" si="41"/>
        <v/>
      </c>
      <c r="K409" s="165" t="str">
        <f t="shared" si="42"/>
        <v/>
      </c>
      <c r="L409" s="165" t="str">
        <f t="shared" si="46"/>
        <v/>
      </c>
      <c r="M409" s="166" t="str">
        <f t="shared" si="43"/>
        <v/>
      </c>
      <c r="N409" s="167" t="str">
        <f t="shared" si="44"/>
        <v/>
      </c>
    </row>
    <row r="410" spans="1:14" ht="18" x14ac:dyDescent="0.35">
      <c r="A410" t="str">
        <f>IFERROR(B410&amp;" "&amp;COUNTIFS($B$4:B410,B410),"")</f>
        <v xml:space="preserve"> 0</v>
      </c>
      <c r="B410" s="169"/>
      <c r="C410" s="162"/>
      <c r="D410" s="162"/>
      <c r="E410" s="162"/>
      <c r="F410" s="163" t="str">
        <f t="shared" si="45"/>
        <v/>
      </c>
      <c r="G410" s="162"/>
      <c r="H410" s="162"/>
      <c r="I410" s="162"/>
      <c r="J410" s="164" t="str">
        <f t="shared" si="41"/>
        <v/>
      </c>
      <c r="K410" s="165" t="str">
        <f t="shared" si="42"/>
        <v/>
      </c>
      <c r="L410" s="165" t="str">
        <f t="shared" si="46"/>
        <v/>
      </c>
      <c r="M410" s="166" t="str">
        <f t="shared" si="43"/>
        <v/>
      </c>
      <c r="N410" s="167" t="str">
        <f t="shared" si="44"/>
        <v/>
      </c>
    </row>
    <row r="411" spans="1:14" ht="18" x14ac:dyDescent="0.35">
      <c r="A411" t="str">
        <f>IFERROR(B411&amp;" "&amp;COUNTIFS($B$4:B411,B411),"")</f>
        <v xml:space="preserve"> 0</v>
      </c>
      <c r="B411" s="169"/>
      <c r="C411" s="162"/>
      <c r="D411" s="162"/>
      <c r="E411" s="162"/>
      <c r="F411" s="163" t="str">
        <f t="shared" si="45"/>
        <v/>
      </c>
      <c r="G411" s="162"/>
      <c r="H411" s="162"/>
      <c r="I411" s="162"/>
      <c r="J411" s="164" t="str">
        <f t="shared" si="41"/>
        <v/>
      </c>
      <c r="K411" s="165" t="str">
        <f t="shared" si="42"/>
        <v/>
      </c>
      <c r="L411" s="165" t="str">
        <f t="shared" si="46"/>
        <v/>
      </c>
      <c r="M411" s="166" t="str">
        <f t="shared" si="43"/>
        <v/>
      </c>
      <c r="N411" s="167" t="str">
        <f t="shared" si="44"/>
        <v/>
      </c>
    </row>
    <row r="412" spans="1:14" ht="18" x14ac:dyDescent="0.35">
      <c r="A412" t="str">
        <f>IFERROR(B412&amp;" "&amp;COUNTIFS($B$4:B412,B412),"")</f>
        <v xml:space="preserve"> 0</v>
      </c>
      <c r="B412" s="169"/>
      <c r="C412" s="162"/>
      <c r="D412" s="162"/>
      <c r="E412" s="162"/>
      <c r="F412" s="163" t="str">
        <f t="shared" si="45"/>
        <v/>
      </c>
      <c r="G412" s="162"/>
      <c r="H412" s="162"/>
      <c r="I412" s="162"/>
      <c r="J412" s="164" t="str">
        <f t="shared" si="41"/>
        <v/>
      </c>
      <c r="K412" s="165" t="str">
        <f t="shared" si="42"/>
        <v/>
      </c>
      <c r="L412" s="165" t="str">
        <f t="shared" si="46"/>
        <v/>
      </c>
      <c r="M412" s="166" t="str">
        <f t="shared" si="43"/>
        <v/>
      </c>
      <c r="N412" s="167" t="str">
        <f t="shared" si="44"/>
        <v/>
      </c>
    </row>
    <row r="413" spans="1:14" ht="18" x14ac:dyDescent="0.35">
      <c r="A413" t="str">
        <f>IFERROR(B413&amp;" "&amp;COUNTIFS($B$4:B413,B413),"")</f>
        <v xml:space="preserve"> 0</v>
      </c>
      <c r="B413" s="169"/>
      <c r="C413" s="162"/>
      <c r="D413" s="162"/>
      <c r="E413" s="162"/>
      <c r="F413" s="163" t="str">
        <f t="shared" si="45"/>
        <v/>
      </c>
      <c r="G413" s="162"/>
      <c r="H413" s="162"/>
      <c r="I413" s="162"/>
      <c r="J413" s="164" t="str">
        <f t="shared" si="41"/>
        <v/>
      </c>
      <c r="K413" s="165" t="str">
        <f t="shared" si="42"/>
        <v/>
      </c>
      <c r="L413" s="165" t="str">
        <f t="shared" si="46"/>
        <v/>
      </c>
      <c r="M413" s="166" t="str">
        <f t="shared" si="43"/>
        <v/>
      </c>
      <c r="N413" s="167" t="str">
        <f t="shared" si="44"/>
        <v/>
      </c>
    </row>
    <row r="414" spans="1:14" ht="18" x14ac:dyDescent="0.35">
      <c r="A414" t="str">
        <f>IFERROR(B414&amp;" "&amp;COUNTIFS($B$4:B414,B414),"")</f>
        <v xml:space="preserve"> 0</v>
      </c>
      <c r="B414" s="169"/>
      <c r="C414" s="162"/>
      <c r="D414" s="162"/>
      <c r="E414" s="162"/>
      <c r="F414" s="163" t="str">
        <f t="shared" si="45"/>
        <v/>
      </c>
      <c r="G414" s="162"/>
      <c r="H414" s="162"/>
      <c r="I414" s="162"/>
      <c r="J414" s="164" t="str">
        <f t="shared" si="41"/>
        <v/>
      </c>
      <c r="K414" s="165" t="str">
        <f t="shared" si="42"/>
        <v/>
      </c>
      <c r="L414" s="165" t="str">
        <f t="shared" si="46"/>
        <v/>
      </c>
      <c r="M414" s="166" t="str">
        <f t="shared" si="43"/>
        <v/>
      </c>
      <c r="N414" s="167" t="str">
        <f t="shared" si="44"/>
        <v/>
      </c>
    </row>
    <row r="415" spans="1:14" ht="18" x14ac:dyDescent="0.35">
      <c r="A415" t="str">
        <f>IFERROR(B415&amp;" "&amp;COUNTIFS($B$4:B415,B415),"")</f>
        <v xml:space="preserve"> 0</v>
      </c>
      <c r="B415" s="169"/>
      <c r="C415" s="162"/>
      <c r="D415" s="162"/>
      <c r="E415" s="162"/>
      <c r="F415" s="163" t="str">
        <f t="shared" si="45"/>
        <v/>
      </c>
      <c r="G415" s="162"/>
      <c r="H415" s="162"/>
      <c r="I415" s="162"/>
      <c r="J415" s="164" t="str">
        <f t="shared" si="41"/>
        <v/>
      </c>
      <c r="K415" s="165" t="str">
        <f t="shared" si="42"/>
        <v/>
      </c>
      <c r="L415" s="165" t="str">
        <f t="shared" si="46"/>
        <v/>
      </c>
      <c r="M415" s="166" t="str">
        <f t="shared" si="43"/>
        <v/>
      </c>
      <c r="N415" s="167" t="str">
        <f t="shared" si="44"/>
        <v/>
      </c>
    </row>
    <row r="416" spans="1:14" ht="18" x14ac:dyDescent="0.35">
      <c r="A416" t="str">
        <f>IFERROR(B416&amp;" "&amp;COUNTIFS($B$4:B416,B416),"")</f>
        <v xml:space="preserve"> 0</v>
      </c>
      <c r="B416" s="169"/>
      <c r="C416" s="162"/>
      <c r="D416" s="162"/>
      <c r="E416" s="162"/>
      <c r="F416" s="163" t="str">
        <f t="shared" si="45"/>
        <v/>
      </c>
      <c r="G416" s="162"/>
      <c r="H416" s="162"/>
      <c r="I416" s="162"/>
      <c r="J416" s="164" t="str">
        <f t="shared" si="41"/>
        <v/>
      </c>
      <c r="K416" s="165" t="str">
        <f t="shared" si="42"/>
        <v/>
      </c>
      <c r="L416" s="165" t="str">
        <f t="shared" si="46"/>
        <v/>
      </c>
      <c r="M416" s="166" t="str">
        <f t="shared" si="43"/>
        <v/>
      </c>
      <c r="N416" s="167" t="str">
        <f t="shared" si="44"/>
        <v/>
      </c>
    </row>
    <row r="417" spans="1:14" ht="18" x14ac:dyDescent="0.35">
      <c r="A417" t="str">
        <f>IFERROR(B417&amp;" "&amp;COUNTIFS($B$4:B417,B417),"")</f>
        <v xml:space="preserve"> 0</v>
      </c>
      <c r="B417" s="169"/>
      <c r="C417" s="162"/>
      <c r="D417" s="162"/>
      <c r="E417" s="162"/>
      <c r="F417" s="163" t="str">
        <f t="shared" si="45"/>
        <v/>
      </c>
      <c r="G417" s="162"/>
      <c r="H417" s="162"/>
      <c r="I417" s="162"/>
      <c r="J417" s="164" t="str">
        <f t="shared" si="41"/>
        <v/>
      </c>
      <c r="K417" s="165" t="str">
        <f t="shared" si="42"/>
        <v/>
      </c>
      <c r="L417" s="165" t="str">
        <f t="shared" si="46"/>
        <v/>
      </c>
      <c r="M417" s="166" t="str">
        <f t="shared" si="43"/>
        <v/>
      </c>
      <c r="N417" s="167" t="str">
        <f t="shared" si="44"/>
        <v/>
      </c>
    </row>
    <row r="418" spans="1:14" ht="18" x14ac:dyDescent="0.35">
      <c r="A418" t="str">
        <f>IFERROR(B418&amp;" "&amp;COUNTIFS($B$4:B418,B418),"")</f>
        <v xml:space="preserve"> 0</v>
      </c>
      <c r="B418" s="169"/>
      <c r="C418" s="162"/>
      <c r="D418" s="162"/>
      <c r="E418" s="162"/>
      <c r="F418" s="163" t="str">
        <f t="shared" si="45"/>
        <v/>
      </c>
      <c r="G418" s="162"/>
      <c r="H418" s="162"/>
      <c r="I418" s="162"/>
      <c r="J418" s="164" t="str">
        <f t="shared" si="41"/>
        <v/>
      </c>
      <c r="K418" s="165" t="str">
        <f t="shared" si="42"/>
        <v/>
      </c>
      <c r="L418" s="165" t="str">
        <f t="shared" si="46"/>
        <v/>
      </c>
      <c r="M418" s="166" t="str">
        <f t="shared" si="43"/>
        <v/>
      </c>
      <c r="N418" s="167" t="str">
        <f t="shared" si="44"/>
        <v/>
      </c>
    </row>
    <row r="419" spans="1:14" ht="18" x14ac:dyDescent="0.35">
      <c r="A419" t="str">
        <f>IFERROR(B419&amp;" "&amp;COUNTIFS($B$4:B419,B419),"")</f>
        <v xml:space="preserve"> 0</v>
      </c>
      <c r="B419" s="169"/>
      <c r="C419" s="162"/>
      <c r="D419" s="162"/>
      <c r="E419" s="162"/>
      <c r="F419" s="163" t="str">
        <f t="shared" si="45"/>
        <v/>
      </c>
      <c r="G419" s="162"/>
      <c r="H419" s="162"/>
      <c r="I419" s="162"/>
      <c r="J419" s="164" t="str">
        <f t="shared" si="41"/>
        <v/>
      </c>
      <c r="K419" s="165" t="str">
        <f t="shared" si="42"/>
        <v/>
      </c>
      <c r="L419" s="165" t="str">
        <f t="shared" si="46"/>
        <v/>
      </c>
      <c r="M419" s="166" t="str">
        <f t="shared" si="43"/>
        <v/>
      </c>
      <c r="N419" s="167" t="str">
        <f t="shared" si="44"/>
        <v/>
      </c>
    </row>
    <row r="420" spans="1:14" ht="18" x14ac:dyDescent="0.35">
      <c r="A420" t="str">
        <f>IFERROR(B420&amp;" "&amp;COUNTIFS($B$4:B420,B420),"")</f>
        <v xml:space="preserve"> 0</v>
      </c>
      <c r="B420" s="169"/>
      <c r="C420" s="162"/>
      <c r="D420" s="162"/>
      <c r="E420" s="162"/>
      <c r="F420" s="163" t="str">
        <f t="shared" si="45"/>
        <v/>
      </c>
      <c r="G420" s="162"/>
      <c r="H420" s="162"/>
      <c r="I420" s="162"/>
      <c r="J420" s="164" t="str">
        <f t="shared" si="41"/>
        <v/>
      </c>
      <c r="K420" s="165" t="str">
        <f t="shared" si="42"/>
        <v/>
      </c>
      <c r="L420" s="165" t="str">
        <f t="shared" si="46"/>
        <v/>
      </c>
      <c r="M420" s="166" t="str">
        <f t="shared" si="43"/>
        <v/>
      </c>
      <c r="N420" s="167" t="str">
        <f t="shared" si="44"/>
        <v/>
      </c>
    </row>
    <row r="421" spans="1:14" ht="18" x14ac:dyDescent="0.35">
      <c r="A421" t="str">
        <f>IFERROR(B421&amp;" "&amp;COUNTIFS($B$4:B421,B421),"")</f>
        <v xml:space="preserve"> 0</v>
      </c>
      <c r="B421" s="169"/>
      <c r="C421" s="162"/>
      <c r="D421" s="162"/>
      <c r="E421" s="162"/>
      <c r="F421" s="163" t="str">
        <f t="shared" si="45"/>
        <v/>
      </c>
      <c r="G421" s="162"/>
      <c r="H421" s="162"/>
      <c r="I421" s="162"/>
      <c r="J421" s="164" t="str">
        <f t="shared" si="41"/>
        <v/>
      </c>
      <c r="K421" s="165" t="str">
        <f t="shared" si="42"/>
        <v/>
      </c>
      <c r="L421" s="165" t="str">
        <f t="shared" si="46"/>
        <v/>
      </c>
      <c r="M421" s="166" t="str">
        <f t="shared" si="43"/>
        <v/>
      </c>
      <c r="N421" s="167" t="str">
        <f t="shared" si="44"/>
        <v/>
      </c>
    </row>
    <row r="422" spans="1:14" ht="18" x14ac:dyDescent="0.35">
      <c r="A422" t="str">
        <f>IFERROR(B422&amp;" "&amp;COUNTIFS($B$4:B422,B422),"")</f>
        <v xml:space="preserve"> 0</v>
      </c>
      <c r="B422" s="169"/>
      <c r="C422" s="162"/>
      <c r="D422" s="162"/>
      <c r="E422" s="162"/>
      <c r="F422" s="163" t="str">
        <f t="shared" si="45"/>
        <v/>
      </c>
      <c r="G422" s="162"/>
      <c r="H422" s="162"/>
      <c r="I422" s="162"/>
      <c r="J422" s="164" t="str">
        <f t="shared" si="41"/>
        <v/>
      </c>
      <c r="K422" s="165" t="str">
        <f t="shared" si="42"/>
        <v/>
      </c>
      <c r="L422" s="165" t="str">
        <f t="shared" si="46"/>
        <v/>
      </c>
      <c r="M422" s="166" t="str">
        <f t="shared" si="43"/>
        <v/>
      </c>
      <c r="N422" s="167" t="str">
        <f t="shared" si="44"/>
        <v/>
      </c>
    </row>
    <row r="423" spans="1:14" ht="18" x14ac:dyDescent="0.35">
      <c r="A423" t="str">
        <f>IFERROR(B423&amp;" "&amp;COUNTIFS($B$4:B423,B423),"")</f>
        <v xml:space="preserve"> 0</v>
      </c>
      <c r="B423" s="169"/>
      <c r="C423" s="162"/>
      <c r="D423" s="162"/>
      <c r="E423" s="162"/>
      <c r="F423" s="163" t="str">
        <f t="shared" si="45"/>
        <v/>
      </c>
      <c r="G423" s="162"/>
      <c r="H423" s="162"/>
      <c r="I423" s="162"/>
      <c r="J423" s="164" t="str">
        <f t="shared" si="41"/>
        <v/>
      </c>
      <c r="K423" s="165" t="str">
        <f t="shared" si="42"/>
        <v/>
      </c>
      <c r="L423" s="165" t="str">
        <f t="shared" si="46"/>
        <v/>
      </c>
      <c r="M423" s="166" t="str">
        <f t="shared" si="43"/>
        <v/>
      </c>
      <c r="N423" s="167" t="str">
        <f t="shared" si="44"/>
        <v/>
      </c>
    </row>
    <row r="424" spans="1:14" ht="18" x14ac:dyDescent="0.35">
      <c r="A424" t="str">
        <f>IFERROR(B424&amp;" "&amp;COUNTIFS($B$4:B424,B424),"")</f>
        <v xml:space="preserve"> 0</v>
      </c>
      <c r="B424" s="169"/>
      <c r="C424" s="162"/>
      <c r="D424" s="162"/>
      <c r="E424" s="162"/>
      <c r="F424" s="163" t="str">
        <f t="shared" si="45"/>
        <v/>
      </c>
      <c r="G424" s="162"/>
      <c r="H424" s="162"/>
      <c r="I424" s="162"/>
      <c r="J424" s="164" t="str">
        <f t="shared" si="41"/>
        <v/>
      </c>
      <c r="K424" s="165" t="str">
        <f t="shared" si="42"/>
        <v/>
      </c>
      <c r="L424" s="165" t="str">
        <f t="shared" si="46"/>
        <v/>
      </c>
      <c r="M424" s="166" t="str">
        <f t="shared" si="43"/>
        <v/>
      </c>
      <c r="N424" s="167" t="str">
        <f t="shared" si="44"/>
        <v/>
      </c>
    </row>
    <row r="425" spans="1:14" ht="18" x14ac:dyDescent="0.35">
      <c r="A425" t="str">
        <f>IFERROR(B425&amp;" "&amp;COUNTIFS($B$4:B425,B425),"")</f>
        <v xml:space="preserve"> 0</v>
      </c>
      <c r="B425" s="169"/>
      <c r="C425" s="162"/>
      <c r="D425" s="162"/>
      <c r="E425" s="162"/>
      <c r="F425" s="163" t="str">
        <f t="shared" si="45"/>
        <v/>
      </c>
      <c r="G425" s="162"/>
      <c r="H425" s="162"/>
      <c r="I425" s="162"/>
      <c r="J425" s="164" t="str">
        <f t="shared" si="41"/>
        <v/>
      </c>
      <c r="K425" s="165" t="str">
        <f t="shared" si="42"/>
        <v/>
      </c>
      <c r="L425" s="165" t="str">
        <f t="shared" si="46"/>
        <v/>
      </c>
      <c r="M425" s="166" t="str">
        <f t="shared" si="43"/>
        <v/>
      </c>
      <c r="N425" s="167" t="str">
        <f t="shared" si="44"/>
        <v/>
      </c>
    </row>
    <row r="426" spans="1:14" ht="18" x14ac:dyDescent="0.35">
      <c r="A426" t="str">
        <f>IFERROR(B426&amp;" "&amp;COUNTIFS($B$4:B426,B426),"")</f>
        <v xml:space="preserve"> 0</v>
      </c>
      <c r="B426" s="169"/>
      <c r="C426" s="162"/>
      <c r="D426" s="162"/>
      <c r="E426" s="162"/>
      <c r="F426" s="163" t="str">
        <f t="shared" si="45"/>
        <v/>
      </c>
      <c r="G426" s="162"/>
      <c r="H426" s="162"/>
      <c r="I426" s="162"/>
      <c r="J426" s="164" t="str">
        <f t="shared" si="41"/>
        <v/>
      </c>
      <c r="K426" s="165" t="str">
        <f t="shared" si="42"/>
        <v/>
      </c>
      <c r="L426" s="165" t="str">
        <f t="shared" si="46"/>
        <v/>
      </c>
      <c r="M426" s="166" t="str">
        <f t="shared" si="43"/>
        <v/>
      </c>
      <c r="N426" s="167" t="str">
        <f t="shared" si="44"/>
        <v/>
      </c>
    </row>
    <row r="427" spans="1:14" ht="18" x14ac:dyDescent="0.35">
      <c r="A427" t="str">
        <f>IFERROR(B427&amp;" "&amp;COUNTIFS($B$4:B427,B427),"")</f>
        <v xml:space="preserve"> 0</v>
      </c>
      <c r="B427" s="169"/>
      <c r="C427" s="162"/>
      <c r="D427" s="162"/>
      <c r="E427" s="162"/>
      <c r="F427" s="163" t="str">
        <f t="shared" si="45"/>
        <v/>
      </c>
      <c r="G427" s="162"/>
      <c r="H427" s="162"/>
      <c r="I427" s="162"/>
      <c r="J427" s="164" t="str">
        <f t="shared" si="41"/>
        <v/>
      </c>
      <c r="K427" s="165" t="str">
        <f t="shared" si="42"/>
        <v/>
      </c>
      <c r="L427" s="165" t="str">
        <f t="shared" si="46"/>
        <v/>
      </c>
      <c r="M427" s="166" t="str">
        <f t="shared" si="43"/>
        <v/>
      </c>
      <c r="N427" s="167" t="str">
        <f t="shared" si="44"/>
        <v/>
      </c>
    </row>
    <row r="428" spans="1:14" ht="18" x14ac:dyDescent="0.35">
      <c r="A428" t="str">
        <f>IFERROR(B428&amp;" "&amp;COUNTIFS($B$4:B428,B428),"")</f>
        <v xml:space="preserve"> 0</v>
      </c>
      <c r="B428" s="169"/>
      <c r="C428" s="162"/>
      <c r="D428" s="162"/>
      <c r="E428" s="162"/>
      <c r="F428" s="163" t="str">
        <f t="shared" si="45"/>
        <v/>
      </c>
      <c r="G428" s="162"/>
      <c r="H428" s="162"/>
      <c r="I428" s="162"/>
      <c r="J428" s="164" t="str">
        <f t="shared" si="41"/>
        <v/>
      </c>
      <c r="K428" s="165" t="str">
        <f t="shared" si="42"/>
        <v/>
      </c>
      <c r="L428" s="165" t="str">
        <f t="shared" si="46"/>
        <v/>
      </c>
      <c r="M428" s="166" t="str">
        <f t="shared" si="43"/>
        <v/>
      </c>
      <c r="N428" s="167" t="str">
        <f t="shared" si="44"/>
        <v/>
      </c>
    </row>
    <row r="429" spans="1:14" ht="18" x14ac:dyDescent="0.35">
      <c r="A429" t="str">
        <f>IFERROR(B429&amp;" "&amp;COUNTIFS($B$4:B429,B429),"")</f>
        <v xml:space="preserve"> 0</v>
      </c>
      <c r="B429" s="169"/>
      <c r="C429" s="162"/>
      <c r="D429" s="162"/>
      <c r="E429" s="162"/>
      <c r="F429" s="163" t="str">
        <f t="shared" si="45"/>
        <v/>
      </c>
      <c r="G429" s="162"/>
      <c r="H429" s="162"/>
      <c r="I429" s="162"/>
      <c r="J429" s="164" t="str">
        <f t="shared" si="41"/>
        <v/>
      </c>
      <c r="K429" s="165" t="str">
        <f t="shared" si="42"/>
        <v/>
      </c>
      <c r="L429" s="165" t="str">
        <f t="shared" si="46"/>
        <v/>
      </c>
      <c r="M429" s="166" t="str">
        <f t="shared" si="43"/>
        <v/>
      </c>
      <c r="N429" s="167" t="str">
        <f t="shared" si="44"/>
        <v/>
      </c>
    </row>
    <row r="430" spans="1:14" ht="18" x14ac:dyDescent="0.35">
      <c r="A430" t="str">
        <f>IFERROR(B430&amp;" "&amp;COUNTIFS($B$4:B430,B430),"")</f>
        <v xml:space="preserve"> 0</v>
      </c>
      <c r="B430" s="169"/>
      <c r="C430" s="162"/>
      <c r="D430" s="162"/>
      <c r="E430" s="162"/>
      <c r="F430" s="163" t="str">
        <f t="shared" si="45"/>
        <v/>
      </c>
      <c r="G430" s="162"/>
      <c r="H430" s="162"/>
      <c r="I430" s="162"/>
      <c r="J430" s="164" t="str">
        <f t="shared" si="41"/>
        <v/>
      </c>
      <c r="K430" s="165" t="str">
        <f t="shared" si="42"/>
        <v/>
      </c>
      <c r="L430" s="165" t="str">
        <f t="shared" si="46"/>
        <v/>
      </c>
      <c r="M430" s="166" t="str">
        <f t="shared" si="43"/>
        <v/>
      </c>
      <c r="N430" s="167" t="str">
        <f t="shared" si="44"/>
        <v/>
      </c>
    </row>
    <row r="431" spans="1:14" ht="18" x14ac:dyDescent="0.35">
      <c r="A431" t="str">
        <f>IFERROR(B431&amp;" "&amp;COUNTIFS($B$4:B431,B431),"")</f>
        <v xml:space="preserve"> 0</v>
      </c>
      <c r="B431" s="169"/>
      <c r="C431" s="162"/>
      <c r="D431" s="162"/>
      <c r="E431" s="162"/>
      <c r="F431" s="163" t="str">
        <f t="shared" si="45"/>
        <v/>
      </c>
      <c r="G431" s="162"/>
      <c r="H431" s="162"/>
      <c r="I431" s="162"/>
      <c r="J431" s="164" t="str">
        <f t="shared" si="41"/>
        <v/>
      </c>
      <c r="K431" s="165" t="str">
        <f t="shared" si="42"/>
        <v/>
      </c>
      <c r="L431" s="165" t="str">
        <f t="shared" si="46"/>
        <v/>
      </c>
      <c r="M431" s="166" t="str">
        <f t="shared" si="43"/>
        <v/>
      </c>
      <c r="N431" s="167" t="str">
        <f t="shared" si="44"/>
        <v/>
      </c>
    </row>
    <row r="432" spans="1:14" ht="18" x14ac:dyDescent="0.35">
      <c r="A432" t="str">
        <f>IFERROR(B432&amp;" "&amp;COUNTIFS($B$4:B432,B432),"")</f>
        <v xml:space="preserve"> 0</v>
      </c>
      <c r="B432" s="169"/>
      <c r="C432" s="162"/>
      <c r="D432" s="162"/>
      <c r="E432" s="162"/>
      <c r="F432" s="163" t="str">
        <f t="shared" si="45"/>
        <v/>
      </c>
      <c r="G432" s="162"/>
      <c r="H432" s="162"/>
      <c r="I432" s="162"/>
      <c r="J432" s="164" t="str">
        <f t="shared" si="41"/>
        <v/>
      </c>
      <c r="K432" s="165" t="str">
        <f t="shared" si="42"/>
        <v/>
      </c>
      <c r="L432" s="165" t="str">
        <f t="shared" si="46"/>
        <v/>
      </c>
      <c r="M432" s="166" t="str">
        <f t="shared" si="43"/>
        <v/>
      </c>
      <c r="N432" s="167" t="str">
        <f t="shared" si="44"/>
        <v/>
      </c>
    </row>
    <row r="433" spans="1:14" ht="18" x14ac:dyDescent="0.35">
      <c r="A433" t="str">
        <f>IFERROR(B433&amp;" "&amp;COUNTIFS($B$4:B433,B433),"")</f>
        <v xml:space="preserve"> 0</v>
      </c>
      <c r="B433" s="169"/>
      <c r="C433" s="162"/>
      <c r="D433" s="162"/>
      <c r="E433" s="162"/>
      <c r="F433" s="163" t="str">
        <f t="shared" si="45"/>
        <v/>
      </c>
      <c r="G433" s="162"/>
      <c r="H433" s="162"/>
      <c r="I433" s="162"/>
      <c r="J433" s="164" t="str">
        <f t="shared" si="41"/>
        <v/>
      </c>
      <c r="K433" s="165" t="str">
        <f t="shared" si="42"/>
        <v/>
      </c>
      <c r="L433" s="165" t="str">
        <f t="shared" si="46"/>
        <v/>
      </c>
      <c r="M433" s="166" t="str">
        <f t="shared" si="43"/>
        <v/>
      </c>
      <c r="N433" s="167" t="str">
        <f t="shared" si="44"/>
        <v/>
      </c>
    </row>
    <row r="434" spans="1:14" ht="18" x14ac:dyDescent="0.35">
      <c r="A434" t="str">
        <f>IFERROR(B434&amp;" "&amp;COUNTIFS($B$4:B434,B434),"")</f>
        <v xml:space="preserve"> 0</v>
      </c>
      <c r="B434" s="169"/>
      <c r="C434" s="162"/>
      <c r="D434" s="162"/>
      <c r="E434" s="162"/>
      <c r="F434" s="163" t="str">
        <f t="shared" si="45"/>
        <v/>
      </c>
      <c r="G434" s="162"/>
      <c r="H434" s="162"/>
      <c r="I434" s="162"/>
      <c r="J434" s="164" t="str">
        <f t="shared" si="41"/>
        <v/>
      </c>
      <c r="K434" s="165" t="str">
        <f t="shared" si="42"/>
        <v/>
      </c>
      <c r="L434" s="165" t="str">
        <f t="shared" si="46"/>
        <v/>
      </c>
      <c r="M434" s="166" t="str">
        <f t="shared" si="43"/>
        <v/>
      </c>
      <c r="N434" s="167" t="str">
        <f t="shared" si="44"/>
        <v/>
      </c>
    </row>
    <row r="435" spans="1:14" ht="18" x14ac:dyDescent="0.35">
      <c r="A435" t="str">
        <f>IFERROR(B435&amp;" "&amp;COUNTIFS($B$4:B435,B435),"")</f>
        <v xml:space="preserve"> 0</v>
      </c>
      <c r="B435" s="169"/>
      <c r="C435" s="162"/>
      <c r="D435" s="162"/>
      <c r="E435" s="162"/>
      <c r="F435" s="163" t="str">
        <f t="shared" si="45"/>
        <v/>
      </c>
      <c r="G435" s="162"/>
      <c r="H435" s="162"/>
      <c r="I435" s="162"/>
      <c r="J435" s="164" t="str">
        <f t="shared" si="41"/>
        <v/>
      </c>
      <c r="K435" s="165" t="str">
        <f t="shared" si="42"/>
        <v/>
      </c>
      <c r="L435" s="165" t="str">
        <f t="shared" si="46"/>
        <v/>
      </c>
      <c r="M435" s="166" t="str">
        <f t="shared" si="43"/>
        <v/>
      </c>
      <c r="N435" s="167" t="str">
        <f t="shared" si="44"/>
        <v/>
      </c>
    </row>
    <row r="436" spans="1:14" ht="18" x14ac:dyDescent="0.35">
      <c r="A436" t="str">
        <f>IFERROR(B436&amp;" "&amp;COUNTIFS($B$4:B436,B436),"")</f>
        <v xml:space="preserve"> 0</v>
      </c>
      <c r="B436" s="169"/>
      <c r="C436" s="162"/>
      <c r="D436" s="162"/>
      <c r="E436" s="162"/>
      <c r="F436" s="163" t="str">
        <f t="shared" si="45"/>
        <v/>
      </c>
      <c r="G436" s="162"/>
      <c r="H436" s="162"/>
      <c r="I436" s="162"/>
      <c r="J436" s="164" t="str">
        <f t="shared" si="41"/>
        <v/>
      </c>
      <c r="K436" s="165" t="str">
        <f t="shared" si="42"/>
        <v/>
      </c>
      <c r="L436" s="165" t="str">
        <f t="shared" si="46"/>
        <v/>
      </c>
      <c r="M436" s="166" t="str">
        <f t="shared" si="43"/>
        <v/>
      </c>
      <c r="N436" s="167" t="str">
        <f t="shared" si="44"/>
        <v/>
      </c>
    </row>
    <row r="437" spans="1:14" ht="18" x14ac:dyDescent="0.35">
      <c r="A437" t="str">
        <f>IFERROR(B437&amp;" "&amp;COUNTIFS($B$4:B437,B437),"")</f>
        <v xml:space="preserve"> 0</v>
      </c>
      <c r="B437" s="169"/>
      <c r="C437" s="162"/>
      <c r="D437" s="162"/>
      <c r="E437" s="162"/>
      <c r="F437" s="163" t="str">
        <f t="shared" si="45"/>
        <v/>
      </c>
      <c r="G437" s="162"/>
      <c r="H437" s="162"/>
      <c r="I437" s="162"/>
      <c r="J437" s="164" t="str">
        <f t="shared" si="41"/>
        <v/>
      </c>
      <c r="K437" s="165" t="str">
        <f t="shared" si="42"/>
        <v/>
      </c>
      <c r="L437" s="165" t="str">
        <f t="shared" si="46"/>
        <v/>
      </c>
      <c r="M437" s="166" t="str">
        <f t="shared" si="43"/>
        <v/>
      </c>
      <c r="N437" s="167" t="str">
        <f t="shared" si="44"/>
        <v/>
      </c>
    </row>
    <row r="438" spans="1:14" ht="18" x14ac:dyDescent="0.35">
      <c r="A438" t="str">
        <f>IFERROR(B438&amp;" "&amp;COUNTIFS($B$4:B438,B438),"")</f>
        <v xml:space="preserve"> 0</v>
      </c>
      <c r="B438" s="169"/>
      <c r="C438" s="162"/>
      <c r="D438" s="162"/>
      <c r="E438" s="162"/>
      <c r="F438" s="163" t="str">
        <f t="shared" si="45"/>
        <v/>
      </c>
      <c r="G438" s="162"/>
      <c r="H438" s="162"/>
      <c r="I438" s="162"/>
      <c r="J438" s="164" t="str">
        <f t="shared" si="41"/>
        <v/>
      </c>
      <c r="K438" s="165" t="str">
        <f t="shared" si="42"/>
        <v/>
      </c>
      <c r="L438" s="165" t="str">
        <f t="shared" si="46"/>
        <v/>
      </c>
      <c r="M438" s="166" t="str">
        <f t="shared" si="43"/>
        <v/>
      </c>
      <c r="N438" s="167" t="str">
        <f t="shared" si="44"/>
        <v/>
      </c>
    </row>
    <row r="439" spans="1:14" ht="18" x14ac:dyDescent="0.35">
      <c r="A439" t="str">
        <f>IFERROR(B439&amp;" "&amp;COUNTIFS($B$4:B439,B439),"")</f>
        <v xml:space="preserve"> 0</v>
      </c>
      <c r="B439" s="169"/>
      <c r="C439" s="162"/>
      <c r="D439" s="162"/>
      <c r="E439" s="162"/>
      <c r="F439" s="163" t="str">
        <f t="shared" si="45"/>
        <v/>
      </c>
      <c r="G439" s="162"/>
      <c r="H439" s="162"/>
      <c r="I439" s="162"/>
      <c r="J439" s="164" t="str">
        <f t="shared" si="41"/>
        <v/>
      </c>
      <c r="K439" s="165" t="str">
        <f t="shared" si="42"/>
        <v/>
      </c>
      <c r="L439" s="165" t="str">
        <f t="shared" si="46"/>
        <v/>
      </c>
      <c r="M439" s="166" t="str">
        <f t="shared" si="43"/>
        <v/>
      </c>
      <c r="N439" s="167" t="str">
        <f t="shared" si="44"/>
        <v/>
      </c>
    </row>
    <row r="440" spans="1:14" ht="18" x14ac:dyDescent="0.35">
      <c r="A440" t="str">
        <f>IFERROR(B440&amp;" "&amp;COUNTIFS($B$4:B440,B440),"")</f>
        <v xml:space="preserve"> 0</v>
      </c>
      <c r="B440" s="169"/>
      <c r="C440" s="162"/>
      <c r="D440" s="162"/>
      <c r="E440" s="162"/>
      <c r="F440" s="163" t="str">
        <f t="shared" si="45"/>
        <v/>
      </c>
      <c r="G440" s="162"/>
      <c r="H440" s="162"/>
      <c r="I440" s="162"/>
      <c r="J440" s="164" t="str">
        <f t="shared" si="41"/>
        <v/>
      </c>
      <c r="K440" s="165" t="str">
        <f t="shared" si="42"/>
        <v/>
      </c>
      <c r="L440" s="165" t="str">
        <f t="shared" si="46"/>
        <v/>
      </c>
      <c r="M440" s="166" t="str">
        <f t="shared" si="43"/>
        <v/>
      </c>
      <c r="N440" s="167" t="str">
        <f t="shared" si="44"/>
        <v/>
      </c>
    </row>
    <row r="441" spans="1:14" ht="18" x14ac:dyDescent="0.35">
      <c r="A441" t="str">
        <f>IFERROR(B441&amp;" "&amp;COUNTIFS($B$4:B441,B441),"")</f>
        <v xml:space="preserve"> 0</v>
      </c>
      <c r="B441" s="169"/>
      <c r="C441" s="162"/>
      <c r="D441" s="162"/>
      <c r="E441" s="162"/>
      <c r="F441" s="163" t="str">
        <f t="shared" si="45"/>
        <v/>
      </c>
      <c r="G441" s="162"/>
      <c r="H441" s="162"/>
      <c r="I441" s="162"/>
      <c r="J441" s="164" t="str">
        <f t="shared" si="41"/>
        <v/>
      </c>
      <c r="K441" s="165" t="str">
        <f t="shared" si="42"/>
        <v/>
      </c>
      <c r="L441" s="165" t="str">
        <f t="shared" si="46"/>
        <v/>
      </c>
      <c r="M441" s="166" t="str">
        <f t="shared" si="43"/>
        <v/>
      </c>
      <c r="N441" s="167" t="str">
        <f t="shared" si="44"/>
        <v/>
      </c>
    </row>
    <row r="442" spans="1:14" ht="18" x14ac:dyDescent="0.35">
      <c r="A442" t="str">
        <f>IFERROR(B442&amp;" "&amp;COUNTIFS($B$4:B442,B442),"")</f>
        <v xml:space="preserve"> 0</v>
      </c>
      <c r="B442" s="169"/>
      <c r="C442" s="162"/>
      <c r="D442" s="162"/>
      <c r="E442" s="162"/>
      <c r="F442" s="163" t="str">
        <f t="shared" si="45"/>
        <v/>
      </c>
      <c r="G442" s="162"/>
      <c r="H442" s="162"/>
      <c r="I442" s="162"/>
      <c r="J442" s="164" t="str">
        <f t="shared" si="41"/>
        <v/>
      </c>
      <c r="K442" s="165" t="str">
        <f t="shared" si="42"/>
        <v/>
      </c>
      <c r="L442" s="165" t="str">
        <f t="shared" si="46"/>
        <v/>
      </c>
      <c r="M442" s="166" t="str">
        <f t="shared" si="43"/>
        <v/>
      </c>
      <c r="N442" s="167" t="str">
        <f t="shared" si="44"/>
        <v/>
      </c>
    </row>
    <row r="443" spans="1:14" ht="18" x14ac:dyDescent="0.35">
      <c r="A443" t="str">
        <f>IFERROR(B443&amp;" "&amp;COUNTIFS($B$4:B443,B443),"")</f>
        <v xml:space="preserve"> 0</v>
      </c>
      <c r="B443" s="169"/>
      <c r="C443" s="162"/>
      <c r="D443" s="162"/>
      <c r="E443" s="162"/>
      <c r="F443" s="163" t="str">
        <f t="shared" si="45"/>
        <v/>
      </c>
      <c r="G443" s="162"/>
      <c r="H443" s="162"/>
      <c r="I443" s="162"/>
      <c r="J443" s="164" t="str">
        <f t="shared" ref="J443:J490" si="47">IFERROR(VLOOKUP(B443,data_kas3,12,FALSE),"")</f>
        <v/>
      </c>
      <c r="K443" s="165" t="str">
        <f t="shared" ref="K443:K490" si="48">IFERROR(VLOOKUP(B443,data_kas3,3,FALSE),"")</f>
        <v/>
      </c>
      <c r="L443" s="165" t="str">
        <f t="shared" si="46"/>
        <v/>
      </c>
      <c r="M443" s="166" t="str">
        <f t="shared" ref="M443:M490" si="49">IFERROR(VLOOKUP(B443,data_kas3,5,FALSE),"")</f>
        <v/>
      </c>
      <c r="N443" s="167" t="str">
        <f t="shared" si="44"/>
        <v/>
      </c>
    </row>
    <row r="444" spans="1:14" ht="18" x14ac:dyDescent="0.35">
      <c r="A444" t="str">
        <f>IFERROR(B444&amp;" "&amp;COUNTIFS($B$4:B444,B444),"")</f>
        <v xml:space="preserve"> 0</v>
      </c>
      <c r="B444" s="169"/>
      <c r="C444" s="162"/>
      <c r="D444" s="162"/>
      <c r="E444" s="162"/>
      <c r="F444" s="163" t="str">
        <f t="shared" si="45"/>
        <v/>
      </c>
      <c r="G444" s="162"/>
      <c r="H444" s="162"/>
      <c r="I444" s="162"/>
      <c r="J444" s="164" t="str">
        <f t="shared" si="47"/>
        <v/>
      </c>
      <c r="K444" s="165" t="str">
        <f t="shared" si="48"/>
        <v/>
      </c>
      <c r="L444" s="165" t="str">
        <f t="shared" si="46"/>
        <v/>
      </c>
      <c r="M444" s="166" t="str">
        <f t="shared" si="49"/>
        <v/>
      </c>
      <c r="N444" s="167" t="str">
        <f t="shared" ref="N444:N490" si="50">IF(K444="","",K444*M444)</f>
        <v/>
      </c>
    </row>
    <row r="445" spans="1:14" ht="18" x14ac:dyDescent="0.35">
      <c r="A445" t="str">
        <f>IFERROR(B445&amp;" "&amp;COUNTIFS($B$4:B445,B445),"")</f>
        <v xml:space="preserve"> 0</v>
      </c>
      <c r="B445" s="169"/>
      <c r="C445" s="162"/>
      <c r="D445" s="162"/>
      <c r="E445" s="162"/>
      <c r="F445" s="163" t="str">
        <f t="shared" si="45"/>
        <v/>
      </c>
      <c r="G445" s="162"/>
      <c r="H445" s="162"/>
      <c r="I445" s="162"/>
      <c r="J445" s="164" t="str">
        <f t="shared" si="47"/>
        <v/>
      </c>
      <c r="K445" s="165" t="str">
        <f t="shared" si="48"/>
        <v/>
      </c>
      <c r="L445" s="165" t="str">
        <f t="shared" si="46"/>
        <v/>
      </c>
      <c r="M445" s="166" t="str">
        <f t="shared" si="49"/>
        <v/>
      </c>
      <c r="N445" s="167" t="str">
        <f t="shared" si="50"/>
        <v/>
      </c>
    </row>
    <row r="446" spans="1:14" ht="18" x14ac:dyDescent="0.35">
      <c r="A446" t="str">
        <f>IFERROR(B446&amp;" "&amp;COUNTIFS($B$4:B446,B446),"")</f>
        <v xml:space="preserve"> 0</v>
      </c>
      <c r="B446" s="169"/>
      <c r="C446" s="162"/>
      <c r="D446" s="162"/>
      <c r="E446" s="162"/>
      <c r="F446" s="163" t="str">
        <f t="shared" si="45"/>
        <v/>
      </c>
      <c r="G446" s="162"/>
      <c r="H446" s="162"/>
      <c r="I446" s="162"/>
      <c r="J446" s="164" t="str">
        <f t="shared" si="47"/>
        <v/>
      </c>
      <c r="K446" s="165" t="str">
        <f t="shared" si="48"/>
        <v/>
      </c>
      <c r="L446" s="165" t="str">
        <f t="shared" si="46"/>
        <v/>
      </c>
      <c r="M446" s="166" t="str">
        <f t="shared" si="49"/>
        <v/>
      </c>
      <c r="N446" s="167" t="str">
        <f t="shared" si="50"/>
        <v/>
      </c>
    </row>
    <row r="447" spans="1:14" ht="18" x14ac:dyDescent="0.35">
      <c r="A447" t="str">
        <f>IFERROR(B447&amp;" "&amp;COUNTIFS($B$4:B447,B447),"")</f>
        <v xml:space="preserve"> 0</v>
      </c>
      <c r="B447" s="169"/>
      <c r="C447" s="162"/>
      <c r="D447" s="162"/>
      <c r="E447" s="162"/>
      <c r="F447" s="163" t="str">
        <f t="shared" si="45"/>
        <v/>
      </c>
      <c r="G447" s="162"/>
      <c r="H447" s="162"/>
      <c r="I447" s="162"/>
      <c r="J447" s="164" t="str">
        <f t="shared" si="47"/>
        <v/>
      </c>
      <c r="K447" s="165" t="str">
        <f t="shared" si="48"/>
        <v/>
      </c>
      <c r="L447" s="165" t="str">
        <f t="shared" si="46"/>
        <v/>
      </c>
      <c r="M447" s="166" t="str">
        <f t="shared" si="49"/>
        <v/>
      </c>
      <c r="N447" s="167" t="str">
        <f t="shared" si="50"/>
        <v/>
      </c>
    </row>
    <row r="448" spans="1:14" ht="18" x14ac:dyDescent="0.35">
      <c r="A448" t="str">
        <f>IFERROR(B448&amp;" "&amp;COUNTIFS($B$4:B448,B448),"")</f>
        <v xml:space="preserve"> 0</v>
      </c>
      <c r="B448" s="169"/>
      <c r="C448" s="162"/>
      <c r="D448" s="162"/>
      <c r="E448" s="162"/>
      <c r="F448" s="163" t="str">
        <f t="shared" si="45"/>
        <v/>
      </c>
      <c r="G448" s="162"/>
      <c r="H448" s="162"/>
      <c r="I448" s="162"/>
      <c r="J448" s="164" t="str">
        <f t="shared" si="47"/>
        <v/>
      </c>
      <c r="K448" s="165" t="str">
        <f t="shared" si="48"/>
        <v/>
      </c>
      <c r="L448" s="165" t="str">
        <f t="shared" si="46"/>
        <v/>
      </c>
      <c r="M448" s="166" t="str">
        <f t="shared" si="49"/>
        <v/>
      </c>
      <c r="N448" s="167" t="str">
        <f t="shared" si="50"/>
        <v/>
      </c>
    </row>
    <row r="449" spans="1:14" ht="18" x14ac:dyDescent="0.35">
      <c r="A449" t="str">
        <f>IFERROR(B449&amp;" "&amp;COUNTIFS($B$4:B449,B449),"")</f>
        <v xml:space="preserve"> 0</v>
      </c>
      <c r="B449" s="169"/>
      <c r="C449" s="162"/>
      <c r="D449" s="162"/>
      <c r="E449" s="162"/>
      <c r="F449" s="163" t="str">
        <f t="shared" si="45"/>
        <v/>
      </c>
      <c r="G449" s="162"/>
      <c r="H449" s="162"/>
      <c r="I449" s="162"/>
      <c r="J449" s="164" t="str">
        <f t="shared" si="47"/>
        <v/>
      </c>
      <c r="K449" s="165" t="str">
        <f t="shared" si="48"/>
        <v/>
      </c>
      <c r="L449" s="165" t="str">
        <f t="shared" si="46"/>
        <v/>
      </c>
      <c r="M449" s="166" t="str">
        <f t="shared" si="49"/>
        <v/>
      </c>
      <c r="N449" s="167" t="str">
        <f t="shared" si="50"/>
        <v/>
      </c>
    </row>
    <row r="450" spans="1:14" ht="18" x14ac:dyDescent="0.35">
      <c r="A450" t="str">
        <f>IFERROR(B450&amp;" "&amp;COUNTIFS($B$4:B450,B450),"")</f>
        <v xml:space="preserve"> 0</v>
      </c>
      <c r="B450" s="169"/>
      <c r="C450" s="162"/>
      <c r="D450" s="162"/>
      <c r="E450" s="162"/>
      <c r="F450" s="163" t="str">
        <f t="shared" si="45"/>
        <v/>
      </c>
      <c r="G450" s="162"/>
      <c r="H450" s="162"/>
      <c r="I450" s="162"/>
      <c r="J450" s="164" t="str">
        <f t="shared" si="47"/>
        <v/>
      </c>
      <c r="K450" s="165" t="str">
        <f t="shared" si="48"/>
        <v/>
      </c>
      <c r="L450" s="165" t="str">
        <f t="shared" si="46"/>
        <v/>
      </c>
      <c r="M450" s="166" t="str">
        <f t="shared" si="49"/>
        <v/>
      </c>
      <c r="N450" s="167" t="str">
        <f t="shared" si="50"/>
        <v/>
      </c>
    </row>
    <row r="451" spans="1:14" ht="18" x14ac:dyDescent="0.35">
      <c r="A451" t="str">
        <f>IFERROR(B451&amp;" "&amp;COUNTIFS($B$4:B451,B451),"")</f>
        <v xml:space="preserve"> 0</v>
      </c>
      <c r="B451" s="169"/>
      <c r="C451" s="162"/>
      <c r="D451" s="162"/>
      <c r="E451" s="162"/>
      <c r="F451" s="163" t="str">
        <f t="shared" si="45"/>
        <v/>
      </c>
      <c r="G451" s="162"/>
      <c r="H451" s="162"/>
      <c r="I451" s="162"/>
      <c r="J451" s="164" t="str">
        <f t="shared" si="47"/>
        <v/>
      </c>
      <c r="K451" s="165" t="str">
        <f t="shared" si="48"/>
        <v/>
      </c>
      <c r="L451" s="165" t="str">
        <f t="shared" si="46"/>
        <v/>
      </c>
      <c r="M451" s="166" t="str">
        <f t="shared" si="49"/>
        <v/>
      </c>
      <c r="N451" s="167" t="str">
        <f t="shared" si="50"/>
        <v/>
      </c>
    </row>
    <row r="452" spans="1:14" ht="18" x14ac:dyDescent="0.35">
      <c r="A452" t="str">
        <f>IFERROR(B452&amp;" "&amp;COUNTIFS($B$4:B452,B452),"")</f>
        <v xml:space="preserve"> 0</v>
      </c>
      <c r="B452" s="169"/>
      <c r="C452" s="162"/>
      <c r="D452" s="162"/>
      <c r="E452" s="162"/>
      <c r="F452" s="163" t="str">
        <f t="shared" ref="F452:F490" si="51">IFERROR(VLOOKUP(E452,data_guru,3,FALSE),"")</f>
        <v/>
      </c>
      <c r="G452" s="162"/>
      <c r="H452" s="162"/>
      <c r="I452" s="162"/>
      <c r="J452" s="164" t="str">
        <f t="shared" si="47"/>
        <v/>
      </c>
      <c r="K452" s="165" t="str">
        <f t="shared" si="48"/>
        <v/>
      </c>
      <c r="L452" s="165" t="str">
        <f t="shared" ref="L452:L490" si="52">IFERROR(VLOOKUP(B452,data_kas3,4,FALSE),"")</f>
        <v/>
      </c>
      <c r="M452" s="166" t="str">
        <f t="shared" si="49"/>
        <v/>
      </c>
      <c r="N452" s="167" t="str">
        <f t="shared" si="50"/>
        <v/>
      </c>
    </row>
    <row r="453" spans="1:14" ht="18" x14ac:dyDescent="0.35">
      <c r="A453" t="str">
        <f>IFERROR(B453&amp;" "&amp;COUNTIFS($B$4:B453,B453),"")</f>
        <v xml:space="preserve"> 0</v>
      </c>
      <c r="B453" s="169"/>
      <c r="C453" s="162"/>
      <c r="D453" s="162"/>
      <c r="E453" s="162"/>
      <c r="F453" s="163" t="str">
        <f t="shared" si="51"/>
        <v/>
      </c>
      <c r="G453" s="162"/>
      <c r="H453" s="162"/>
      <c r="I453" s="162"/>
      <c r="J453" s="164" t="str">
        <f t="shared" si="47"/>
        <v/>
      </c>
      <c r="K453" s="165" t="str">
        <f t="shared" si="48"/>
        <v/>
      </c>
      <c r="L453" s="165" t="str">
        <f t="shared" si="52"/>
        <v/>
      </c>
      <c r="M453" s="166" t="str">
        <f t="shared" si="49"/>
        <v/>
      </c>
      <c r="N453" s="167" t="str">
        <f t="shared" si="50"/>
        <v/>
      </c>
    </row>
    <row r="454" spans="1:14" ht="18" x14ac:dyDescent="0.35">
      <c r="A454" t="str">
        <f>IFERROR(B454&amp;" "&amp;COUNTIFS($B$4:B454,B454),"")</f>
        <v xml:space="preserve"> 0</v>
      </c>
      <c r="B454" s="169"/>
      <c r="C454" s="162"/>
      <c r="D454" s="162"/>
      <c r="E454" s="162"/>
      <c r="F454" s="163" t="str">
        <f t="shared" si="51"/>
        <v/>
      </c>
      <c r="G454" s="162"/>
      <c r="H454" s="162"/>
      <c r="I454" s="162"/>
      <c r="J454" s="164" t="str">
        <f t="shared" si="47"/>
        <v/>
      </c>
      <c r="K454" s="165" t="str">
        <f t="shared" si="48"/>
        <v/>
      </c>
      <c r="L454" s="165" t="str">
        <f t="shared" si="52"/>
        <v/>
      </c>
      <c r="M454" s="166" t="str">
        <f t="shared" si="49"/>
        <v/>
      </c>
      <c r="N454" s="167" t="str">
        <f t="shared" si="50"/>
        <v/>
      </c>
    </row>
    <row r="455" spans="1:14" ht="18" x14ac:dyDescent="0.35">
      <c r="A455" t="str">
        <f>IFERROR(B455&amp;" "&amp;COUNTIFS($B$4:B455,B455),"")</f>
        <v xml:space="preserve"> 0</v>
      </c>
      <c r="B455" s="169"/>
      <c r="C455" s="162"/>
      <c r="D455" s="162"/>
      <c r="E455" s="162"/>
      <c r="F455" s="163" t="str">
        <f t="shared" si="51"/>
        <v/>
      </c>
      <c r="G455" s="162"/>
      <c r="H455" s="162"/>
      <c r="I455" s="162"/>
      <c r="J455" s="164" t="str">
        <f t="shared" si="47"/>
        <v/>
      </c>
      <c r="K455" s="165" t="str">
        <f t="shared" si="48"/>
        <v/>
      </c>
      <c r="L455" s="165" t="str">
        <f t="shared" si="52"/>
        <v/>
      </c>
      <c r="M455" s="166" t="str">
        <f t="shared" si="49"/>
        <v/>
      </c>
      <c r="N455" s="167" t="str">
        <f t="shared" si="50"/>
        <v/>
      </c>
    </row>
    <row r="456" spans="1:14" ht="18" x14ac:dyDescent="0.35">
      <c r="A456" t="str">
        <f>IFERROR(B456&amp;" "&amp;COUNTIFS($B$4:B456,B456),"")</f>
        <v xml:space="preserve"> 0</v>
      </c>
      <c r="B456" s="169"/>
      <c r="C456" s="162"/>
      <c r="D456" s="162"/>
      <c r="E456" s="162"/>
      <c r="F456" s="163" t="str">
        <f t="shared" si="51"/>
        <v/>
      </c>
      <c r="G456" s="162"/>
      <c r="H456" s="162"/>
      <c r="I456" s="162"/>
      <c r="J456" s="164" t="str">
        <f t="shared" si="47"/>
        <v/>
      </c>
      <c r="K456" s="165" t="str">
        <f t="shared" si="48"/>
        <v/>
      </c>
      <c r="L456" s="165" t="str">
        <f t="shared" si="52"/>
        <v/>
      </c>
      <c r="M456" s="166" t="str">
        <f t="shared" si="49"/>
        <v/>
      </c>
      <c r="N456" s="167" t="str">
        <f t="shared" si="50"/>
        <v/>
      </c>
    </row>
    <row r="457" spans="1:14" ht="18" x14ac:dyDescent="0.35">
      <c r="A457" t="str">
        <f>IFERROR(B457&amp;" "&amp;COUNTIFS($B$4:B457,B457),"")</f>
        <v xml:space="preserve"> 0</v>
      </c>
      <c r="B457" s="169"/>
      <c r="C457" s="162"/>
      <c r="D457" s="162"/>
      <c r="E457" s="162"/>
      <c r="F457" s="163" t="str">
        <f t="shared" si="51"/>
        <v/>
      </c>
      <c r="G457" s="162"/>
      <c r="H457" s="162"/>
      <c r="I457" s="162"/>
      <c r="J457" s="164" t="str">
        <f t="shared" si="47"/>
        <v/>
      </c>
      <c r="K457" s="165" t="str">
        <f t="shared" si="48"/>
        <v/>
      </c>
      <c r="L457" s="165" t="str">
        <f t="shared" si="52"/>
        <v/>
      </c>
      <c r="M457" s="166" t="str">
        <f t="shared" si="49"/>
        <v/>
      </c>
      <c r="N457" s="167" t="str">
        <f t="shared" si="50"/>
        <v/>
      </c>
    </row>
    <row r="458" spans="1:14" ht="18" x14ac:dyDescent="0.35">
      <c r="A458" t="str">
        <f>IFERROR(B458&amp;" "&amp;COUNTIFS($B$4:B458,B458),"")</f>
        <v xml:space="preserve"> 0</v>
      </c>
      <c r="B458" s="169"/>
      <c r="C458" s="162"/>
      <c r="D458" s="162"/>
      <c r="E458" s="162"/>
      <c r="F458" s="163" t="str">
        <f t="shared" si="51"/>
        <v/>
      </c>
      <c r="G458" s="162"/>
      <c r="H458" s="162"/>
      <c r="I458" s="162"/>
      <c r="J458" s="164" t="str">
        <f t="shared" si="47"/>
        <v/>
      </c>
      <c r="K458" s="165" t="str">
        <f t="shared" si="48"/>
        <v/>
      </c>
      <c r="L458" s="165" t="str">
        <f t="shared" si="52"/>
        <v/>
      </c>
      <c r="M458" s="166" t="str">
        <f t="shared" si="49"/>
        <v/>
      </c>
      <c r="N458" s="167" t="str">
        <f t="shared" si="50"/>
        <v/>
      </c>
    </row>
    <row r="459" spans="1:14" ht="18" x14ac:dyDescent="0.35">
      <c r="A459" t="str">
        <f>IFERROR(B459&amp;" "&amp;COUNTIFS($B$4:B459,B459),"")</f>
        <v xml:space="preserve"> 0</v>
      </c>
      <c r="B459" s="169"/>
      <c r="C459" s="162"/>
      <c r="D459" s="162"/>
      <c r="E459" s="162"/>
      <c r="F459" s="163" t="str">
        <f t="shared" si="51"/>
        <v/>
      </c>
      <c r="G459" s="162"/>
      <c r="H459" s="162"/>
      <c r="I459" s="162"/>
      <c r="J459" s="164" t="str">
        <f t="shared" si="47"/>
        <v/>
      </c>
      <c r="K459" s="165" t="str">
        <f t="shared" si="48"/>
        <v/>
      </c>
      <c r="L459" s="165" t="str">
        <f t="shared" si="52"/>
        <v/>
      </c>
      <c r="M459" s="166" t="str">
        <f t="shared" si="49"/>
        <v/>
      </c>
      <c r="N459" s="167" t="str">
        <f t="shared" si="50"/>
        <v/>
      </c>
    </row>
    <row r="460" spans="1:14" ht="18" x14ac:dyDescent="0.35">
      <c r="A460" t="str">
        <f>IFERROR(B460&amp;" "&amp;COUNTIFS($B$4:B460,B460),"")</f>
        <v xml:space="preserve"> 0</v>
      </c>
      <c r="B460" s="169"/>
      <c r="C460" s="162"/>
      <c r="D460" s="162"/>
      <c r="E460" s="162"/>
      <c r="F460" s="163" t="str">
        <f t="shared" si="51"/>
        <v/>
      </c>
      <c r="G460" s="162"/>
      <c r="H460" s="162"/>
      <c r="I460" s="162"/>
      <c r="J460" s="164" t="str">
        <f t="shared" si="47"/>
        <v/>
      </c>
      <c r="K460" s="165" t="str">
        <f t="shared" si="48"/>
        <v/>
      </c>
      <c r="L460" s="165" t="str">
        <f t="shared" si="52"/>
        <v/>
      </c>
      <c r="M460" s="166" t="str">
        <f t="shared" si="49"/>
        <v/>
      </c>
      <c r="N460" s="167" t="str">
        <f t="shared" si="50"/>
        <v/>
      </c>
    </row>
    <row r="461" spans="1:14" ht="18" x14ac:dyDescent="0.35">
      <c r="A461" t="str">
        <f>IFERROR(B461&amp;" "&amp;COUNTIFS($B$4:B461,B461),"")</f>
        <v xml:space="preserve"> 0</v>
      </c>
      <c r="B461" s="169"/>
      <c r="C461" s="162"/>
      <c r="D461" s="162"/>
      <c r="E461" s="162"/>
      <c r="F461" s="163" t="str">
        <f t="shared" si="51"/>
        <v/>
      </c>
      <c r="G461" s="162"/>
      <c r="H461" s="162"/>
      <c r="I461" s="162"/>
      <c r="J461" s="164" t="str">
        <f t="shared" si="47"/>
        <v/>
      </c>
      <c r="K461" s="165" t="str">
        <f t="shared" si="48"/>
        <v/>
      </c>
      <c r="L461" s="165" t="str">
        <f t="shared" si="52"/>
        <v/>
      </c>
      <c r="M461" s="166" t="str">
        <f t="shared" si="49"/>
        <v/>
      </c>
      <c r="N461" s="167" t="str">
        <f t="shared" si="50"/>
        <v/>
      </c>
    </row>
    <row r="462" spans="1:14" ht="18" x14ac:dyDescent="0.35">
      <c r="A462" t="str">
        <f>IFERROR(B462&amp;" "&amp;COUNTIFS($B$4:B462,B462),"")</f>
        <v xml:space="preserve"> 0</v>
      </c>
      <c r="B462" s="169"/>
      <c r="C462" s="162"/>
      <c r="D462" s="162"/>
      <c r="E462" s="162"/>
      <c r="F462" s="163" t="str">
        <f t="shared" si="51"/>
        <v/>
      </c>
      <c r="G462" s="162"/>
      <c r="H462" s="162"/>
      <c r="I462" s="162"/>
      <c r="J462" s="164" t="str">
        <f t="shared" si="47"/>
        <v/>
      </c>
      <c r="K462" s="165" t="str">
        <f t="shared" si="48"/>
        <v/>
      </c>
      <c r="L462" s="165" t="str">
        <f t="shared" si="52"/>
        <v/>
      </c>
      <c r="M462" s="166" t="str">
        <f t="shared" si="49"/>
        <v/>
      </c>
      <c r="N462" s="167" t="str">
        <f t="shared" si="50"/>
        <v/>
      </c>
    </row>
    <row r="463" spans="1:14" ht="18" x14ac:dyDescent="0.35">
      <c r="A463" t="str">
        <f>IFERROR(B463&amp;" "&amp;COUNTIFS($B$4:B463,B463),"")</f>
        <v xml:space="preserve"> 0</v>
      </c>
      <c r="B463" s="169"/>
      <c r="C463" s="162"/>
      <c r="D463" s="162"/>
      <c r="E463" s="162"/>
      <c r="F463" s="163" t="str">
        <f t="shared" si="51"/>
        <v/>
      </c>
      <c r="G463" s="162"/>
      <c r="H463" s="162"/>
      <c r="I463" s="162"/>
      <c r="J463" s="164" t="str">
        <f t="shared" si="47"/>
        <v/>
      </c>
      <c r="K463" s="165" t="str">
        <f t="shared" si="48"/>
        <v/>
      </c>
      <c r="L463" s="165" t="str">
        <f t="shared" si="52"/>
        <v/>
      </c>
      <c r="M463" s="166" t="str">
        <f t="shared" si="49"/>
        <v/>
      </c>
      <c r="N463" s="167" t="str">
        <f t="shared" si="50"/>
        <v/>
      </c>
    </row>
    <row r="464" spans="1:14" ht="18" x14ac:dyDescent="0.35">
      <c r="A464" t="str">
        <f>IFERROR(B464&amp;" "&amp;COUNTIFS($B$4:B464,B464),"")</f>
        <v xml:space="preserve"> 0</v>
      </c>
      <c r="B464" s="169"/>
      <c r="C464" s="162"/>
      <c r="D464" s="162"/>
      <c r="E464" s="162"/>
      <c r="F464" s="163" t="str">
        <f t="shared" si="51"/>
        <v/>
      </c>
      <c r="G464" s="162"/>
      <c r="H464" s="162"/>
      <c r="I464" s="162"/>
      <c r="J464" s="164" t="str">
        <f t="shared" si="47"/>
        <v/>
      </c>
      <c r="K464" s="165" t="str">
        <f t="shared" si="48"/>
        <v/>
      </c>
      <c r="L464" s="165" t="str">
        <f t="shared" si="52"/>
        <v/>
      </c>
      <c r="M464" s="166" t="str">
        <f t="shared" si="49"/>
        <v/>
      </c>
      <c r="N464" s="167" t="str">
        <f t="shared" si="50"/>
        <v/>
      </c>
    </row>
    <row r="465" spans="1:14" ht="18" x14ac:dyDescent="0.35">
      <c r="A465" t="str">
        <f>IFERROR(B465&amp;" "&amp;COUNTIFS($B$4:B465,B465),"")</f>
        <v xml:space="preserve"> 0</v>
      </c>
      <c r="B465" s="169"/>
      <c r="C465" s="162"/>
      <c r="D465" s="162"/>
      <c r="E465" s="162"/>
      <c r="F465" s="163" t="str">
        <f t="shared" si="51"/>
        <v/>
      </c>
      <c r="G465" s="162"/>
      <c r="H465" s="162"/>
      <c r="I465" s="162"/>
      <c r="J465" s="164" t="str">
        <f t="shared" si="47"/>
        <v/>
      </c>
      <c r="K465" s="165" t="str">
        <f t="shared" si="48"/>
        <v/>
      </c>
      <c r="L465" s="165" t="str">
        <f t="shared" si="52"/>
        <v/>
      </c>
      <c r="M465" s="166" t="str">
        <f t="shared" si="49"/>
        <v/>
      </c>
      <c r="N465" s="167" t="str">
        <f t="shared" si="50"/>
        <v/>
      </c>
    </row>
    <row r="466" spans="1:14" ht="18" x14ac:dyDescent="0.35">
      <c r="A466" t="str">
        <f>IFERROR(B466&amp;" "&amp;COUNTIFS($B$4:B466,B466),"")</f>
        <v xml:space="preserve"> 0</v>
      </c>
      <c r="B466" s="169"/>
      <c r="C466" s="162"/>
      <c r="D466" s="162"/>
      <c r="E466" s="162"/>
      <c r="F466" s="163" t="str">
        <f t="shared" si="51"/>
        <v/>
      </c>
      <c r="G466" s="162"/>
      <c r="H466" s="162"/>
      <c r="I466" s="162"/>
      <c r="J466" s="164" t="str">
        <f t="shared" si="47"/>
        <v/>
      </c>
      <c r="K466" s="165" t="str">
        <f t="shared" si="48"/>
        <v/>
      </c>
      <c r="L466" s="165" t="str">
        <f t="shared" si="52"/>
        <v/>
      </c>
      <c r="M466" s="166" t="str">
        <f t="shared" si="49"/>
        <v/>
      </c>
      <c r="N466" s="167" t="str">
        <f t="shared" si="50"/>
        <v/>
      </c>
    </row>
    <row r="467" spans="1:14" ht="18" x14ac:dyDescent="0.35">
      <c r="A467" t="str">
        <f>IFERROR(B467&amp;" "&amp;COUNTIFS($B$4:B467,B467),"")</f>
        <v xml:space="preserve"> 0</v>
      </c>
      <c r="B467" s="169"/>
      <c r="C467" s="162"/>
      <c r="D467" s="162"/>
      <c r="E467" s="162"/>
      <c r="F467" s="163" t="str">
        <f t="shared" si="51"/>
        <v/>
      </c>
      <c r="G467" s="162"/>
      <c r="H467" s="162"/>
      <c r="I467" s="162"/>
      <c r="J467" s="164" t="str">
        <f t="shared" si="47"/>
        <v/>
      </c>
      <c r="K467" s="165" t="str">
        <f t="shared" si="48"/>
        <v/>
      </c>
      <c r="L467" s="165" t="str">
        <f t="shared" si="52"/>
        <v/>
      </c>
      <c r="M467" s="166" t="str">
        <f t="shared" si="49"/>
        <v/>
      </c>
      <c r="N467" s="167" t="str">
        <f t="shared" si="50"/>
        <v/>
      </c>
    </row>
    <row r="468" spans="1:14" ht="18" x14ac:dyDescent="0.35">
      <c r="A468" t="str">
        <f>IFERROR(B468&amp;" "&amp;COUNTIFS($B$4:B468,B468),"")</f>
        <v xml:space="preserve"> 0</v>
      </c>
      <c r="B468" s="169"/>
      <c r="C468" s="162"/>
      <c r="D468" s="162"/>
      <c r="E468" s="162"/>
      <c r="F468" s="163" t="str">
        <f t="shared" si="51"/>
        <v/>
      </c>
      <c r="G468" s="162"/>
      <c r="H468" s="162"/>
      <c r="I468" s="162"/>
      <c r="J468" s="164" t="str">
        <f t="shared" si="47"/>
        <v/>
      </c>
      <c r="K468" s="165" t="str">
        <f t="shared" si="48"/>
        <v/>
      </c>
      <c r="L468" s="165" t="str">
        <f t="shared" si="52"/>
        <v/>
      </c>
      <c r="M468" s="166" t="str">
        <f t="shared" si="49"/>
        <v/>
      </c>
      <c r="N468" s="167" t="str">
        <f t="shared" si="50"/>
        <v/>
      </c>
    </row>
    <row r="469" spans="1:14" ht="18" x14ac:dyDescent="0.35">
      <c r="A469" t="str">
        <f>IFERROR(B469&amp;" "&amp;COUNTIFS($B$4:B469,B469),"")</f>
        <v xml:space="preserve"> 0</v>
      </c>
      <c r="B469" s="169"/>
      <c r="C469" s="162"/>
      <c r="D469" s="162"/>
      <c r="E469" s="162"/>
      <c r="F469" s="163" t="str">
        <f t="shared" si="51"/>
        <v/>
      </c>
      <c r="G469" s="162"/>
      <c r="H469" s="162"/>
      <c r="I469" s="162"/>
      <c r="J469" s="164" t="str">
        <f t="shared" si="47"/>
        <v/>
      </c>
      <c r="K469" s="165" t="str">
        <f t="shared" si="48"/>
        <v/>
      </c>
      <c r="L469" s="165" t="str">
        <f t="shared" si="52"/>
        <v/>
      </c>
      <c r="M469" s="166" t="str">
        <f t="shared" si="49"/>
        <v/>
      </c>
      <c r="N469" s="167" t="str">
        <f t="shared" si="50"/>
        <v/>
      </c>
    </row>
    <row r="470" spans="1:14" ht="18" x14ac:dyDescent="0.35">
      <c r="A470" t="str">
        <f>IFERROR(B470&amp;" "&amp;COUNTIFS($B$4:B470,B470),"")</f>
        <v xml:space="preserve"> 0</v>
      </c>
      <c r="B470" s="169"/>
      <c r="C470" s="162"/>
      <c r="D470" s="162"/>
      <c r="E470" s="162"/>
      <c r="F470" s="163" t="str">
        <f t="shared" si="51"/>
        <v/>
      </c>
      <c r="G470" s="162"/>
      <c r="H470" s="162"/>
      <c r="I470" s="162"/>
      <c r="J470" s="164" t="str">
        <f t="shared" si="47"/>
        <v/>
      </c>
      <c r="K470" s="165" t="str">
        <f t="shared" si="48"/>
        <v/>
      </c>
      <c r="L470" s="165" t="str">
        <f t="shared" si="52"/>
        <v/>
      </c>
      <c r="M470" s="166" t="str">
        <f t="shared" si="49"/>
        <v/>
      </c>
      <c r="N470" s="167" t="str">
        <f t="shared" si="50"/>
        <v/>
      </c>
    </row>
    <row r="471" spans="1:14" ht="18" x14ac:dyDescent="0.35">
      <c r="A471" t="str">
        <f>IFERROR(B471&amp;" "&amp;COUNTIFS($B$4:B471,B471),"")</f>
        <v xml:space="preserve"> 0</v>
      </c>
      <c r="B471" s="169"/>
      <c r="C471" s="162"/>
      <c r="D471" s="162"/>
      <c r="E471" s="162"/>
      <c r="F471" s="163" t="str">
        <f t="shared" si="51"/>
        <v/>
      </c>
      <c r="G471" s="162"/>
      <c r="H471" s="162"/>
      <c r="I471" s="162"/>
      <c r="J471" s="164" t="str">
        <f t="shared" si="47"/>
        <v/>
      </c>
      <c r="K471" s="165" t="str">
        <f t="shared" si="48"/>
        <v/>
      </c>
      <c r="L471" s="165" t="str">
        <f t="shared" si="52"/>
        <v/>
      </c>
      <c r="M471" s="166" t="str">
        <f t="shared" si="49"/>
        <v/>
      </c>
      <c r="N471" s="167" t="str">
        <f t="shared" si="50"/>
        <v/>
      </c>
    </row>
    <row r="472" spans="1:14" ht="18" x14ac:dyDescent="0.35">
      <c r="A472" t="str">
        <f>IFERROR(B472&amp;" "&amp;COUNTIFS($B$4:B472,B472),"")</f>
        <v xml:space="preserve"> 0</v>
      </c>
      <c r="B472" s="169"/>
      <c r="C472" s="162"/>
      <c r="D472" s="162"/>
      <c r="E472" s="162"/>
      <c r="F472" s="163" t="str">
        <f t="shared" si="51"/>
        <v/>
      </c>
      <c r="G472" s="162"/>
      <c r="H472" s="162"/>
      <c r="I472" s="162"/>
      <c r="J472" s="164" t="str">
        <f t="shared" si="47"/>
        <v/>
      </c>
      <c r="K472" s="165" t="str">
        <f t="shared" si="48"/>
        <v/>
      </c>
      <c r="L472" s="165" t="str">
        <f t="shared" si="52"/>
        <v/>
      </c>
      <c r="M472" s="166" t="str">
        <f t="shared" si="49"/>
        <v/>
      </c>
      <c r="N472" s="167" t="str">
        <f t="shared" si="50"/>
        <v/>
      </c>
    </row>
    <row r="473" spans="1:14" ht="18" x14ac:dyDescent="0.35">
      <c r="A473" t="str">
        <f>IFERROR(B473&amp;" "&amp;COUNTIFS($B$4:B473,B473),"")</f>
        <v xml:space="preserve"> 0</v>
      </c>
      <c r="B473" s="169"/>
      <c r="C473" s="162"/>
      <c r="D473" s="162"/>
      <c r="E473" s="162"/>
      <c r="F473" s="163" t="str">
        <f t="shared" si="51"/>
        <v/>
      </c>
      <c r="G473" s="162"/>
      <c r="H473" s="162"/>
      <c r="I473" s="162"/>
      <c r="J473" s="164" t="str">
        <f t="shared" si="47"/>
        <v/>
      </c>
      <c r="K473" s="165" t="str">
        <f t="shared" si="48"/>
        <v/>
      </c>
      <c r="L473" s="165" t="str">
        <f t="shared" si="52"/>
        <v/>
      </c>
      <c r="M473" s="166" t="str">
        <f t="shared" si="49"/>
        <v/>
      </c>
      <c r="N473" s="167" t="str">
        <f t="shared" si="50"/>
        <v/>
      </c>
    </row>
    <row r="474" spans="1:14" ht="18" x14ac:dyDescent="0.35">
      <c r="A474" t="str">
        <f>IFERROR(B474&amp;" "&amp;COUNTIFS($B$4:B474,B474),"")</f>
        <v xml:space="preserve"> 0</v>
      </c>
      <c r="B474" s="169"/>
      <c r="C474" s="162"/>
      <c r="D474" s="162"/>
      <c r="E474" s="162"/>
      <c r="F474" s="163" t="str">
        <f t="shared" si="51"/>
        <v/>
      </c>
      <c r="G474" s="162"/>
      <c r="H474" s="162"/>
      <c r="I474" s="162"/>
      <c r="J474" s="164" t="str">
        <f t="shared" si="47"/>
        <v/>
      </c>
      <c r="K474" s="165" t="str">
        <f t="shared" si="48"/>
        <v/>
      </c>
      <c r="L474" s="165" t="str">
        <f t="shared" si="52"/>
        <v/>
      </c>
      <c r="M474" s="166" t="str">
        <f t="shared" si="49"/>
        <v/>
      </c>
      <c r="N474" s="167" t="str">
        <f t="shared" si="50"/>
        <v/>
      </c>
    </row>
    <row r="475" spans="1:14" ht="18" x14ac:dyDescent="0.35">
      <c r="A475" t="str">
        <f>IFERROR(B475&amp;" "&amp;COUNTIFS($B$4:B475,B475),"")</f>
        <v xml:space="preserve"> 0</v>
      </c>
      <c r="B475" s="169"/>
      <c r="C475" s="162"/>
      <c r="D475" s="162"/>
      <c r="E475" s="162"/>
      <c r="F475" s="163" t="str">
        <f t="shared" si="51"/>
        <v/>
      </c>
      <c r="G475" s="162"/>
      <c r="H475" s="162"/>
      <c r="I475" s="162"/>
      <c r="J475" s="164" t="str">
        <f t="shared" si="47"/>
        <v/>
      </c>
      <c r="K475" s="165" t="str">
        <f t="shared" si="48"/>
        <v/>
      </c>
      <c r="L475" s="165" t="str">
        <f t="shared" si="52"/>
        <v/>
      </c>
      <c r="M475" s="166" t="str">
        <f t="shared" si="49"/>
        <v/>
      </c>
      <c r="N475" s="167" t="str">
        <f t="shared" si="50"/>
        <v/>
      </c>
    </row>
    <row r="476" spans="1:14" ht="18" x14ac:dyDescent="0.35">
      <c r="A476" t="str">
        <f>IFERROR(B476&amp;" "&amp;COUNTIFS($B$4:B476,B476),"")</f>
        <v xml:space="preserve"> 0</v>
      </c>
      <c r="B476" s="169"/>
      <c r="C476" s="162"/>
      <c r="D476" s="162"/>
      <c r="E476" s="162"/>
      <c r="F476" s="163" t="str">
        <f t="shared" si="51"/>
        <v/>
      </c>
      <c r="G476" s="162"/>
      <c r="H476" s="162"/>
      <c r="I476" s="162"/>
      <c r="J476" s="164" t="str">
        <f t="shared" si="47"/>
        <v/>
      </c>
      <c r="K476" s="165" t="str">
        <f t="shared" si="48"/>
        <v/>
      </c>
      <c r="L476" s="165" t="str">
        <f t="shared" si="52"/>
        <v/>
      </c>
      <c r="M476" s="166" t="str">
        <f t="shared" si="49"/>
        <v/>
      </c>
      <c r="N476" s="167" t="str">
        <f t="shared" si="50"/>
        <v/>
      </c>
    </row>
    <row r="477" spans="1:14" ht="18" x14ac:dyDescent="0.35">
      <c r="A477" t="str">
        <f>IFERROR(B477&amp;" "&amp;COUNTIFS($B$4:B477,B477),"")</f>
        <v xml:space="preserve"> 0</v>
      </c>
      <c r="B477" s="169"/>
      <c r="C477" s="162"/>
      <c r="D477" s="162"/>
      <c r="E477" s="162"/>
      <c r="F477" s="163" t="str">
        <f t="shared" si="51"/>
        <v/>
      </c>
      <c r="G477" s="162"/>
      <c r="H477" s="162"/>
      <c r="I477" s="162"/>
      <c r="J477" s="164" t="str">
        <f t="shared" si="47"/>
        <v/>
      </c>
      <c r="K477" s="165" t="str">
        <f t="shared" si="48"/>
        <v/>
      </c>
      <c r="L477" s="165" t="str">
        <f t="shared" si="52"/>
        <v/>
      </c>
      <c r="M477" s="166" t="str">
        <f t="shared" si="49"/>
        <v/>
      </c>
      <c r="N477" s="167" t="str">
        <f t="shared" si="50"/>
        <v/>
      </c>
    </row>
    <row r="478" spans="1:14" ht="18" x14ac:dyDescent="0.35">
      <c r="A478" t="str">
        <f>IFERROR(B478&amp;" "&amp;COUNTIFS($B$4:B478,B478),"")</f>
        <v xml:space="preserve"> 0</v>
      </c>
      <c r="B478" s="169"/>
      <c r="C478" s="162"/>
      <c r="D478" s="162"/>
      <c r="E478" s="162"/>
      <c r="F478" s="163" t="str">
        <f t="shared" si="51"/>
        <v/>
      </c>
      <c r="G478" s="162"/>
      <c r="H478" s="162"/>
      <c r="I478" s="162"/>
      <c r="J478" s="164" t="str">
        <f t="shared" si="47"/>
        <v/>
      </c>
      <c r="K478" s="165" t="str">
        <f t="shared" si="48"/>
        <v/>
      </c>
      <c r="L478" s="165" t="str">
        <f t="shared" si="52"/>
        <v/>
      </c>
      <c r="M478" s="166" t="str">
        <f t="shared" si="49"/>
        <v/>
      </c>
      <c r="N478" s="167" t="str">
        <f t="shared" si="50"/>
        <v/>
      </c>
    </row>
    <row r="479" spans="1:14" ht="18" x14ac:dyDescent="0.35">
      <c r="A479" t="str">
        <f>IFERROR(B479&amp;" "&amp;COUNTIFS($B$4:B479,B479),"")</f>
        <v xml:space="preserve"> 0</v>
      </c>
      <c r="B479" s="169"/>
      <c r="C479" s="162"/>
      <c r="D479" s="162"/>
      <c r="E479" s="162"/>
      <c r="F479" s="163" t="str">
        <f t="shared" si="51"/>
        <v/>
      </c>
      <c r="G479" s="162"/>
      <c r="H479" s="162"/>
      <c r="I479" s="162"/>
      <c r="J479" s="164" t="str">
        <f t="shared" si="47"/>
        <v/>
      </c>
      <c r="K479" s="165" t="str">
        <f t="shared" si="48"/>
        <v/>
      </c>
      <c r="L479" s="165" t="str">
        <f t="shared" si="52"/>
        <v/>
      </c>
      <c r="M479" s="166" t="str">
        <f t="shared" si="49"/>
        <v/>
      </c>
      <c r="N479" s="167" t="str">
        <f t="shared" si="50"/>
        <v/>
      </c>
    </row>
    <row r="480" spans="1:14" ht="18" x14ac:dyDescent="0.35">
      <c r="A480" t="str">
        <f>IFERROR(B480&amp;" "&amp;COUNTIFS($B$4:B480,B480),"")</f>
        <v xml:space="preserve"> 0</v>
      </c>
      <c r="B480" s="169"/>
      <c r="C480" s="162"/>
      <c r="D480" s="162"/>
      <c r="E480" s="162"/>
      <c r="F480" s="163" t="str">
        <f t="shared" si="51"/>
        <v/>
      </c>
      <c r="G480" s="162"/>
      <c r="H480" s="162"/>
      <c r="I480" s="162"/>
      <c r="J480" s="164" t="str">
        <f t="shared" si="47"/>
        <v/>
      </c>
      <c r="K480" s="165" t="str">
        <f t="shared" si="48"/>
        <v/>
      </c>
      <c r="L480" s="165" t="str">
        <f t="shared" si="52"/>
        <v/>
      </c>
      <c r="M480" s="166" t="str">
        <f t="shared" si="49"/>
        <v/>
      </c>
      <c r="N480" s="167" t="str">
        <f t="shared" si="50"/>
        <v/>
      </c>
    </row>
    <row r="481" spans="1:14" ht="18" x14ac:dyDescent="0.35">
      <c r="A481" t="str">
        <f>IFERROR(B481&amp;" "&amp;COUNTIFS($B$4:B481,B481),"")</f>
        <v xml:space="preserve"> 0</v>
      </c>
      <c r="B481" s="169"/>
      <c r="C481" s="162"/>
      <c r="D481" s="162"/>
      <c r="E481" s="162"/>
      <c r="F481" s="163" t="str">
        <f t="shared" si="51"/>
        <v/>
      </c>
      <c r="G481" s="162"/>
      <c r="H481" s="162"/>
      <c r="I481" s="162"/>
      <c r="J481" s="164" t="str">
        <f t="shared" si="47"/>
        <v/>
      </c>
      <c r="K481" s="165" t="str">
        <f t="shared" si="48"/>
        <v/>
      </c>
      <c r="L481" s="165" t="str">
        <f t="shared" si="52"/>
        <v/>
      </c>
      <c r="M481" s="166" t="str">
        <f t="shared" si="49"/>
        <v/>
      </c>
      <c r="N481" s="167" t="str">
        <f t="shared" si="50"/>
        <v/>
      </c>
    </row>
    <row r="482" spans="1:14" ht="18" x14ac:dyDescent="0.35">
      <c r="A482" t="str">
        <f>IFERROR(B482&amp;" "&amp;COUNTIFS($B$4:B482,B482),"")</f>
        <v xml:space="preserve"> 0</v>
      </c>
      <c r="B482" s="169"/>
      <c r="C482" s="162"/>
      <c r="D482" s="162"/>
      <c r="E482" s="162"/>
      <c r="F482" s="163" t="str">
        <f t="shared" si="51"/>
        <v/>
      </c>
      <c r="G482" s="162"/>
      <c r="H482" s="162"/>
      <c r="I482" s="162"/>
      <c r="J482" s="164" t="str">
        <f t="shared" si="47"/>
        <v/>
      </c>
      <c r="K482" s="165" t="str">
        <f t="shared" si="48"/>
        <v/>
      </c>
      <c r="L482" s="165" t="str">
        <f t="shared" si="52"/>
        <v/>
      </c>
      <c r="M482" s="166" t="str">
        <f t="shared" si="49"/>
        <v/>
      </c>
      <c r="N482" s="167" t="str">
        <f t="shared" si="50"/>
        <v/>
      </c>
    </row>
    <row r="483" spans="1:14" ht="18" x14ac:dyDescent="0.35">
      <c r="A483" t="str">
        <f>IFERROR(B483&amp;" "&amp;COUNTIFS($B$4:B483,B483),"")</f>
        <v xml:space="preserve"> 0</v>
      </c>
      <c r="B483" s="169"/>
      <c r="C483" s="162"/>
      <c r="D483" s="162"/>
      <c r="E483" s="162"/>
      <c r="F483" s="163" t="str">
        <f t="shared" si="51"/>
        <v/>
      </c>
      <c r="G483" s="162"/>
      <c r="H483" s="162"/>
      <c r="I483" s="162"/>
      <c r="J483" s="164" t="str">
        <f t="shared" si="47"/>
        <v/>
      </c>
      <c r="K483" s="165" t="str">
        <f t="shared" si="48"/>
        <v/>
      </c>
      <c r="L483" s="165" t="str">
        <f t="shared" si="52"/>
        <v/>
      </c>
      <c r="M483" s="166" t="str">
        <f t="shared" si="49"/>
        <v/>
      </c>
      <c r="N483" s="167" t="str">
        <f t="shared" si="50"/>
        <v/>
      </c>
    </row>
    <row r="484" spans="1:14" ht="18" x14ac:dyDescent="0.35">
      <c r="A484" t="str">
        <f>IFERROR(B484&amp;" "&amp;COUNTIFS($B$4:B484,B484),"")</f>
        <v xml:space="preserve"> 0</v>
      </c>
      <c r="B484" s="169"/>
      <c r="C484" s="162"/>
      <c r="D484" s="162"/>
      <c r="E484" s="162"/>
      <c r="F484" s="163" t="str">
        <f t="shared" si="51"/>
        <v/>
      </c>
      <c r="G484" s="162"/>
      <c r="H484" s="162"/>
      <c r="I484" s="162"/>
      <c r="J484" s="164" t="str">
        <f t="shared" si="47"/>
        <v/>
      </c>
      <c r="K484" s="165" t="str">
        <f t="shared" si="48"/>
        <v/>
      </c>
      <c r="L484" s="165" t="str">
        <f t="shared" si="52"/>
        <v/>
      </c>
      <c r="M484" s="166" t="str">
        <f t="shared" si="49"/>
        <v/>
      </c>
      <c r="N484" s="167" t="str">
        <f t="shared" si="50"/>
        <v/>
      </c>
    </row>
    <row r="485" spans="1:14" ht="18" x14ac:dyDescent="0.35">
      <c r="A485" t="str">
        <f>IFERROR(B485&amp;" "&amp;COUNTIFS($B$4:B485,B485),"")</f>
        <v xml:space="preserve"> 0</v>
      </c>
      <c r="B485" s="169"/>
      <c r="C485" s="162"/>
      <c r="D485" s="162"/>
      <c r="E485" s="162"/>
      <c r="F485" s="163" t="str">
        <f t="shared" si="51"/>
        <v/>
      </c>
      <c r="G485" s="162"/>
      <c r="H485" s="162"/>
      <c r="I485" s="162"/>
      <c r="J485" s="164" t="str">
        <f t="shared" si="47"/>
        <v/>
      </c>
      <c r="K485" s="165" t="str">
        <f t="shared" si="48"/>
        <v/>
      </c>
      <c r="L485" s="165" t="str">
        <f t="shared" si="52"/>
        <v/>
      </c>
      <c r="M485" s="166" t="str">
        <f t="shared" si="49"/>
        <v/>
      </c>
      <c r="N485" s="167" t="str">
        <f t="shared" si="50"/>
        <v/>
      </c>
    </row>
    <row r="486" spans="1:14" ht="18" x14ac:dyDescent="0.35">
      <c r="A486" t="str">
        <f>IFERROR(B486&amp;" "&amp;COUNTIFS($B$4:B486,B486),"")</f>
        <v xml:space="preserve"> 0</v>
      </c>
      <c r="B486" s="169"/>
      <c r="C486" s="162"/>
      <c r="D486" s="162"/>
      <c r="E486" s="162"/>
      <c r="F486" s="163" t="str">
        <f t="shared" si="51"/>
        <v/>
      </c>
      <c r="G486" s="162"/>
      <c r="H486" s="162"/>
      <c r="I486" s="162"/>
      <c r="J486" s="164" t="str">
        <f t="shared" si="47"/>
        <v/>
      </c>
      <c r="K486" s="165" t="str">
        <f t="shared" si="48"/>
        <v/>
      </c>
      <c r="L486" s="165" t="str">
        <f t="shared" si="52"/>
        <v/>
      </c>
      <c r="M486" s="166" t="str">
        <f t="shared" si="49"/>
        <v/>
      </c>
      <c r="N486" s="167" t="str">
        <f t="shared" si="50"/>
        <v/>
      </c>
    </row>
    <row r="487" spans="1:14" ht="18" x14ac:dyDescent="0.35">
      <c r="A487" t="str">
        <f>IFERROR(B487&amp;" "&amp;COUNTIFS($B$4:B487,B487),"")</f>
        <v xml:space="preserve"> 0</v>
      </c>
      <c r="B487" s="169"/>
      <c r="C487" s="162"/>
      <c r="D487" s="162"/>
      <c r="E487" s="162"/>
      <c r="F487" s="163" t="str">
        <f t="shared" si="51"/>
        <v/>
      </c>
      <c r="G487" s="162"/>
      <c r="H487" s="162"/>
      <c r="I487" s="162"/>
      <c r="J487" s="164" t="str">
        <f t="shared" si="47"/>
        <v/>
      </c>
      <c r="K487" s="165" t="str">
        <f t="shared" si="48"/>
        <v/>
      </c>
      <c r="L487" s="165" t="str">
        <f t="shared" si="52"/>
        <v/>
      </c>
      <c r="M487" s="166" t="str">
        <f t="shared" si="49"/>
        <v/>
      </c>
      <c r="N487" s="167" t="str">
        <f t="shared" si="50"/>
        <v/>
      </c>
    </row>
    <row r="488" spans="1:14" ht="18" x14ac:dyDescent="0.35">
      <c r="A488" t="str">
        <f>IFERROR(B488&amp;" "&amp;COUNTIFS($B$4:B488,B488),"")</f>
        <v xml:space="preserve"> 0</v>
      </c>
      <c r="B488" s="169"/>
      <c r="C488" s="162"/>
      <c r="D488" s="162"/>
      <c r="E488" s="162"/>
      <c r="F488" s="163" t="str">
        <f t="shared" si="51"/>
        <v/>
      </c>
      <c r="G488" s="162"/>
      <c r="H488" s="162"/>
      <c r="I488" s="162"/>
      <c r="J488" s="164" t="str">
        <f t="shared" si="47"/>
        <v/>
      </c>
      <c r="K488" s="165" t="str">
        <f t="shared" si="48"/>
        <v/>
      </c>
      <c r="L488" s="165" t="str">
        <f t="shared" si="52"/>
        <v/>
      </c>
      <c r="M488" s="166" t="str">
        <f t="shared" si="49"/>
        <v/>
      </c>
      <c r="N488" s="167" t="str">
        <f t="shared" si="50"/>
        <v/>
      </c>
    </row>
    <row r="489" spans="1:14" ht="18" x14ac:dyDescent="0.35">
      <c r="A489" t="str">
        <f>IFERROR(B489&amp;" "&amp;COUNTIFS($B$4:B489,B489),"")</f>
        <v xml:space="preserve"> 0</v>
      </c>
      <c r="B489" s="169"/>
      <c r="C489" s="162"/>
      <c r="D489" s="162"/>
      <c r="E489" s="162"/>
      <c r="F489" s="163" t="str">
        <f t="shared" si="51"/>
        <v/>
      </c>
      <c r="G489" s="162"/>
      <c r="H489" s="162"/>
      <c r="I489" s="162"/>
      <c r="J489" s="164" t="str">
        <f t="shared" si="47"/>
        <v/>
      </c>
      <c r="K489" s="165" t="str">
        <f t="shared" si="48"/>
        <v/>
      </c>
      <c r="L489" s="165" t="str">
        <f t="shared" si="52"/>
        <v/>
      </c>
      <c r="M489" s="166" t="str">
        <f t="shared" si="49"/>
        <v/>
      </c>
      <c r="N489" s="167" t="str">
        <f t="shared" si="50"/>
        <v/>
      </c>
    </row>
    <row r="490" spans="1:14" ht="18" x14ac:dyDescent="0.35">
      <c r="A490" t="str">
        <f>IFERROR(B490&amp;" "&amp;COUNTIFS($B$4:B490,B490),"")</f>
        <v xml:space="preserve"> 0</v>
      </c>
      <c r="B490" s="169"/>
      <c r="C490" s="162"/>
      <c r="D490" s="162"/>
      <c r="E490" s="162"/>
      <c r="F490" s="163" t="str">
        <f t="shared" si="51"/>
        <v/>
      </c>
      <c r="G490" s="162"/>
      <c r="H490" s="162"/>
      <c r="I490" s="162"/>
      <c r="J490" s="164" t="str">
        <f t="shared" si="47"/>
        <v/>
      </c>
      <c r="K490" s="165" t="str">
        <f t="shared" si="48"/>
        <v/>
      </c>
      <c r="L490" s="165" t="str">
        <f t="shared" si="52"/>
        <v/>
      </c>
      <c r="M490" s="166" t="str">
        <f t="shared" si="49"/>
        <v/>
      </c>
      <c r="N490" s="167" t="str">
        <f t="shared" si="50"/>
        <v/>
      </c>
    </row>
    <row r="491" spans="1:14" ht="18" x14ac:dyDescent="0.35">
      <c r="A491" t="str">
        <f>IFERROR(#REF!&amp;" "&amp;COUNTIFS(#REF!,#REF!),"")</f>
        <v/>
      </c>
      <c r="B491" s="169" t="s">
        <v>587</v>
      </c>
      <c r="C491" s="162" t="s">
        <v>623</v>
      </c>
      <c r="D491" s="162"/>
      <c r="E491" s="162" t="s">
        <v>587</v>
      </c>
      <c r="F491" s="168" t="s">
        <v>587</v>
      </c>
      <c r="G491" s="162" t="s">
        <v>587</v>
      </c>
      <c r="H491" s="162" t="s">
        <v>587</v>
      </c>
      <c r="I491" s="162" t="s">
        <v>587</v>
      </c>
      <c r="J491" s="162" t="s">
        <v>587</v>
      </c>
      <c r="K491" s="162" t="s">
        <v>587</v>
      </c>
      <c r="L491" s="162" t="s">
        <v>587</v>
      </c>
      <c r="M491" s="162" t="s">
        <v>587</v>
      </c>
      <c r="N491" s="162" t="s">
        <v>587</v>
      </c>
    </row>
  </sheetData>
  <phoneticPr fontId="24" type="noConversion"/>
  <dataValidations count="2">
    <dataValidation type="list" allowBlank="1" showInputMessage="1" showErrorMessage="1" sqref="E491:N491 B4:B491" xr:uid="{00000000-0002-0000-0300-000000000000}">
      <formula1>URAIAN</formula1>
    </dataValidation>
    <dataValidation type="list" allowBlank="1" showInputMessage="1" showErrorMessage="1" sqref="E4:E490" xr:uid="{00000000-0002-0000-0300-000001000000}">
      <formula1>nama_guru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 filterMode="1">
    <tabColor rgb="FF00B050"/>
    <pageSetUpPr fitToPage="1"/>
  </sheetPr>
  <dimension ref="A1:Z56"/>
  <sheetViews>
    <sheetView showGridLines="0" view="pageBreakPreview" topLeftCell="E1" zoomScale="70" zoomScaleNormal="100" zoomScaleSheetLayoutView="70" workbookViewId="0">
      <pane ySplit="1" topLeftCell="A2" activePane="bottomLeft" state="frozen"/>
      <selection activeCell="P44" sqref="P44"/>
      <selection pane="bottomLeft" activeCell="V48" sqref="V48"/>
    </sheetView>
  </sheetViews>
  <sheetFormatPr defaultRowHeight="14.4" x14ac:dyDescent="0.3"/>
  <cols>
    <col min="1" max="4" width="9.44140625" hidden="1" customWidth="1"/>
    <col min="5" max="5" width="9.44140625" customWidth="1"/>
    <col min="6" max="6" width="11.6640625" customWidth="1"/>
    <col min="7" max="7" width="4.109375" style="3" customWidth="1"/>
    <col min="10" max="10" width="8.88671875" customWidth="1"/>
    <col min="11" max="11" width="12.5546875" customWidth="1"/>
    <col min="12" max="12" width="14.33203125" customWidth="1"/>
    <col min="13" max="13" width="2.6640625" customWidth="1"/>
    <col min="14" max="14" width="8.88671875" customWidth="1"/>
    <col min="15" max="15" width="9.44140625" customWidth="1"/>
    <col min="16" max="16" width="6.88671875" customWidth="1"/>
    <col min="17" max="17" width="14.6640625" customWidth="1"/>
    <col min="18" max="18" width="2" bestFit="1" customWidth="1"/>
    <col min="19" max="19" width="18.33203125" customWidth="1"/>
    <col min="20" max="20" width="3.88671875" customWidth="1"/>
    <col min="21" max="21" width="11.88671875" bestFit="1" customWidth="1"/>
    <col min="22" max="22" width="13.88671875" customWidth="1"/>
    <col min="24" max="24" width="9.88671875" customWidth="1"/>
    <col min="25" max="26" width="9.88671875" hidden="1" customWidth="1"/>
    <col min="27" max="27" width="0" hidden="1" customWidth="1"/>
  </cols>
  <sheetData>
    <row r="1" spans="1:25" ht="72" customHeight="1" x14ac:dyDescent="0.3"/>
    <row r="2" spans="1:25" ht="19.5" customHeight="1" x14ac:dyDescent="0.3">
      <c r="E2" s="204" t="s">
        <v>582</v>
      </c>
      <c r="F2" s="205"/>
      <c r="G2" s="205"/>
      <c r="H2" s="205"/>
      <c r="I2" s="205"/>
      <c r="J2" s="205"/>
      <c r="K2" s="206"/>
      <c r="L2" s="78" t="s">
        <v>583</v>
      </c>
      <c r="M2" s="79"/>
      <c r="N2" s="213" t="str">
        <f>V10&amp;"/BOSP/"&amp;'DATA UMUM'!D9</f>
        <v>BPU05/BOSP/2024</v>
      </c>
      <c r="O2" s="213"/>
      <c r="P2" s="213"/>
      <c r="Q2" s="213"/>
      <c r="R2" s="213"/>
      <c r="S2" s="214"/>
      <c r="U2" t="s">
        <v>575</v>
      </c>
    </row>
    <row r="3" spans="1:25" ht="19.5" customHeight="1" x14ac:dyDescent="0.3">
      <c r="E3" s="207"/>
      <c r="F3" s="208"/>
      <c r="G3" s="208"/>
      <c r="H3" s="208"/>
      <c r="I3" s="208"/>
      <c r="J3" s="208"/>
      <c r="K3" s="209"/>
      <c r="L3" s="78" t="s">
        <v>47</v>
      </c>
      <c r="M3" s="79"/>
      <c r="N3" s="213">
        <f>'DATA UMUM'!D9</f>
        <v>2024</v>
      </c>
      <c r="O3" s="213"/>
      <c r="P3" s="213"/>
      <c r="Q3" s="213"/>
      <c r="R3" s="213"/>
      <c r="S3" s="214"/>
      <c r="U3" s="20" t="s">
        <v>561</v>
      </c>
    </row>
    <row r="4" spans="1:25" ht="19.5" customHeight="1" x14ac:dyDescent="0.3">
      <c r="E4" s="207"/>
      <c r="F4" s="208"/>
      <c r="G4" s="208"/>
      <c r="H4" s="208"/>
      <c r="I4" s="208"/>
      <c r="J4" s="208"/>
      <c r="K4" s="209"/>
      <c r="L4" s="78" t="s">
        <v>48</v>
      </c>
      <c r="M4" s="79"/>
      <c r="N4" s="213" t="str">
        <f>IFERROR(VLOOKUP(V10,DATA_KAS,4,FALSE),"")</f>
        <v>06.05.08.</v>
      </c>
      <c r="O4" s="213"/>
      <c r="P4" s="213"/>
      <c r="Q4" s="213"/>
      <c r="R4" s="213"/>
      <c r="S4" s="214"/>
      <c r="U4" t="s">
        <v>574</v>
      </c>
    </row>
    <row r="5" spans="1:25" ht="19.5" customHeight="1" x14ac:dyDescent="0.3">
      <c r="E5" s="210"/>
      <c r="F5" s="211"/>
      <c r="G5" s="211"/>
      <c r="H5" s="211"/>
      <c r="I5" s="211"/>
      <c r="J5" s="211"/>
      <c r="K5" s="212"/>
      <c r="L5" s="78" t="s">
        <v>49</v>
      </c>
      <c r="M5" s="79"/>
      <c r="N5" s="213" t="str">
        <f>IFERROR(VLOOKUP(V10,DATA_KAS,5,FALSE),"")</f>
        <v>5.1.02.01.01
.0024</v>
      </c>
      <c r="O5" s="213"/>
      <c r="P5" s="213"/>
      <c r="Q5" s="213"/>
      <c r="R5" s="213"/>
      <c r="S5" s="214"/>
    </row>
    <row r="6" spans="1:25" ht="23.4" x14ac:dyDescent="0.45">
      <c r="B6">
        <f>IF(E6=0,0,1)</f>
        <v>1</v>
      </c>
      <c r="E6" s="51" t="str">
        <f>IFERROR(VLOOKUP(V10,DATA_KAS,15,FALSE),0)</f>
        <v>Toko Senjata Tenten</v>
      </c>
      <c r="F6" s="52"/>
      <c r="G6" s="53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4"/>
    </row>
    <row r="7" spans="1:25" ht="18" x14ac:dyDescent="0.35">
      <c r="B7">
        <f>IF(E7="",0,1)</f>
        <v>1</v>
      </c>
      <c r="E7" s="97" t="str">
        <f>IFERROR(VLOOKUP(V10,DATA_KAS,17,FALSE),0)</f>
        <v>Jalan Ninja Nomor 2, Desa Konohagakure, Negara Api</v>
      </c>
      <c r="F7" s="11"/>
      <c r="G7" s="13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56"/>
    </row>
    <row r="8" spans="1:25" ht="24" customHeight="1" thickBot="1" x14ac:dyDescent="0.35">
      <c r="B8">
        <f>IF(E8="",0,1)</f>
        <v>1</v>
      </c>
      <c r="E8" s="77" t="str">
        <f>IFERROR(VLOOKUP(V10,DATA_KAS,16,FALSE),0)</f>
        <v>005003</v>
      </c>
      <c r="F8" s="11"/>
      <c r="G8" s="13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56"/>
    </row>
    <row r="9" spans="1:25" ht="19.5" customHeight="1" thickTop="1" x14ac:dyDescent="0.3">
      <c r="B9">
        <v>1</v>
      </c>
      <c r="E9" s="73" t="s">
        <v>50</v>
      </c>
      <c r="F9" s="102"/>
      <c r="G9" s="74"/>
      <c r="H9" s="103" t="str">
        <f>"Kepala "&amp;'DATA UMUM'!D2</f>
        <v>Kepala SD Ninja 01 Konoha</v>
      </c>
      <c r="I9" s="103"/>
      <c r="J9" s="103"/>
      <c r="K9" s="52"/>
      <c r="L9" s="52"/>
      <c r="M9" s="52"/>
      <c r="N9" s="52"/>
      <c r="O9" s="52"/>
      <c r="P9" s="52"/>
      <c r="Q9" s="52"/>
      <c r="R9" s="52"/>
      <c r="S9" s="54"/>
      <c r="U9" s="25" t="s">
        <v>520</v>
      </c>
      <c r="V9" s="26" t="s">
        <v>3</v>
      </c>
      <c r="Y9">
        <f>IFERROR(VLOOKUP(V10,DATA_KAS,14,FALSE),"")</f>
        <v>0</v>
      </c>
    </row>
    <row r="10" spans="1:25" ht="30" customHeight="1" thickBot="1" x14ac:dyDescent="0.35">
      <c r="B10">
        <v>1</v>
      </c>
      <c r="E10" s="73" t="s">
        <v>51</v>
      </c>
      <c r="F10" s="65"/>
      <c r="G10" s="74"/>
      <c r="H10" s="190" t="str">
        <f>IFERROR(PROPER(IF( H46=0,"nol",IF( H46&lt;0,"minus ","")&amp;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IF(--MID(TEXT(ABS( H46),"000000000000000"),1,3)=0,"",MID(TEXT(ABS( H46),"000000000000000"),1,1)&amp;" ratus "&amp;MID(TEXT(ABS( H46),"000000000000000"),2,1)&amp;" puluh "&amp;MID(TEXT(ABS( H46),"000000000000000"),3,1)&amp;" trilyun ")&amp;IF(--MID(TEXT(ABS( H46),"000000000000000"),4,3)=0,"",MID(TEXT(ABS( H46),"000000000000000"),4,1)&amp;" ratus "&amp;MID(TEXT(ABS( H46),"000000000000000"),5,1)&amp;" puluh "&amp;MID(TEXT(ABS( H46),"000000000000000"),6,1)&amp;" milyar ")&amp;IF(--MID(TEXT(ABS( H46),"000000000000000"),7,3)=0,"",MID(TEXT(ABS( H46),"000000000000000"),7,1)&amp;" ratus "&amp;MID(TEXT(ABS( H46),"000000000000000"),8,1)&amp;" puluh "&amp;MID(TEXT(ABS( H46),"000000000000000"),9,1)&amp;" juta ")&amp;IF(--MID(TEXT(ABS( H46),"000000000000000"),10,3)=0,"",IF(--MID(TEXT(ABS( H46),"000000000000000"),10,3)=1,"*",MID(TEXT(ABS( H46),"000000000000000"),10,1)&amp;" ratus "&amp;MID(TEXT(ABS( H46),"000000000000000"),11,1)&amp;" puluh ")&amp;MID(TEXT(ABS( H46),"000000000000000"),12,1)&amp;" ribu ")&amp;IF(--MID(TEXT(ABS( H46),"000000000000000"),13,3)=0,"",MID(TEXT(ABS( H46),"000000000000000"),13,1)&amp;" ratus "&amp;MID(TEXT(ABS( H46),"000000000000000"),14,1)&amp;" puluh "&amp;MID(TEXT(ABS( H46),"000000000000000"),15,1)),1,"satu"),2,"dua"),3,"tiga"),4,"empat"),5,"lima"),6,"enam"),7,"tujuh"),8,"delapan"),9,"sembilan"),"0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"," ")))&amp;" " &amp;"Rupiah","")</f>
        <v>Satu Juta Sembilan Ratus Delapan Puluh Delapan Ribu Rupiah</v>
      </c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1"/>
      <c r="U10" s="96">
        <v>5</v>
      </c>
      <c r="V10" s="27" t="str">
        <f>"BPU"&amp;TEXT(U10,"00")</f>
        <v>BPU05</v>
      </c>
    </row>
    <row r="11" spans="1:25" ht="30.75" customHeight="1" thickTop="1" x14ac:dyDescent="0.3">
      <c r="B11">
        <v>1</v>
      </c>
      <c r="E11" s="75" t="s">
        <v>52</v>
      </c>
      <c r="F11" s="76"/>
      <c r="G11" s="74"/>
      <c r="H11" s="197" t="str">
        <f>IFERROR(VLOOKUP(V10,DATA_KAS,7,FALSE),"")</f>
        <v>Pembelian ATK</v>
      </c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8"/>
    </row>
    <row r="12" spans="1:25" ht="15.6" hidden="1" x14ac:dyDescent="0.3">
      <c r="B12">
        <v>0</v>
      </c>
      <c r="E12" s="59"/>
      <c r="F12" s="52"/>
      <c r="G12" s="53"/>
      <c r="H12" s="52" t="str">
        <f>IF(Y9=2,"Dengan rincian sebagai berikut:",IF(Y9=1,"(daftar terlampir)",""))</f>
        <v/>
      </c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4"/>
    </row>
    <row r="13" spans="1:25" ht="16.2" hidden="1" customHeight="1" x14ac:dyDescent="0.3">
      <c r="A13" t="str">
        <f>$V$10&amp;" "&amp;D13</f>
        <v>BPU05 1</v>
      </c>
      <c r="B13">
        <v>0</v>
      </c>
      <c r="C13">
        <f>D13</f>
        <v>1</v>
      </c>
      <c r="D13">
        <v>1</v>
      </c>
      <c r="E13" s="55"/>
      <c r="F13" s="11"/>
      <c r="G13" s="13">
        <f>IFERROR(IF(Q13&lt;&gt;"",COUNTA($Q13:Q$13),""),"")</f>
        <v>1</v>
      </c>
      <c r="H13" s="11" t="str">
        <f t="shared" ref="H13:H42" si="0">IFERROR(VLOOKUP(A13,DATA_ITEM,5,FALSE),"")</f>
        <v>Penghapus Whiteboard besar GM</v>
      </c>
      <c r="I13" s="11"/>
      <c r="J13" s="11"/>
      <c r="K13" s="60"/>
      <c r="L13" s="61"/>
      <c r="M13" s="11" t="s">
        <v>55</v>
      </c>
      <c r="N13" s="11">
        <f t="shared" ref="N13:N42" si="1">IFERROR(VLOOKUP(A13,DATA_ITEM,8,FALSE),"")</f>
        <v>12</v>
      </c>
      <c r="O13" s="11" t="str">
        <f>IFERROR(VLOOKUP(A13,DATA_ITEM,9,FALSE),"")</f>
        <v>pcs</v>
      </c>
      <c r="P13" s="11" t="s">
        <v>529</v>
      </c>
      <c r="Q13" s="62">
        <f t="shared" ref="Q13:Q42" si="2">IFERROR(VLOOKUP(A13,DATA_ITEM,10,FALSE),"")</f>
        <v>16500</v>
      </c>
      <c r="R13" s="62" t="s">
        <v>533</v>
      </c>
      <c r="S13" s="63">
        <f t="shared" ref="S13:S42" si="3">IFERROR(VLOOKUP(A13,DATA_ITEM,11,FALSE),"")</f>
        <v>198000</v>
      </c>
    </row>
    <row r="14" spans="1:25" ht="15.75" hidden="1" customHeight="1" x14ac:dyDescent="0.3">
      <c r="A14" t="str">
        <f t="shared" ref="A14:A42" si="4">$V$10&amp;" "&amp;D14</f>
        <v>BPU05 2</v>
      </c>
      <c r="B14">
        <v>0</v>
      </c>
      <c r="C14">
        <f t="shared" ref="C14:C42" si="5">D14</f>
        <v>2</v>
      </c>
      <c r="D14">
        <v>2</v>
      </c>
      <c r="E14" s="55"/>
      <c r="F14" s="11"/>
      <c r="G14" s="13">
        <f>IFERROR(IF(H14&lt;&gt;"",COUNTA($H$13:H14),""),"")</f>
        <v>2</v>
      </c>
      <c r="H14" s="11" t="str">
        <f t="shared" si="0"/>
        <v>Kertas HVS Folio</v>
      </c>
      <c r="I14" s="11"/>
      <c r="J14" s="11"/>
      <c r="K14" s="11"/>
      <c r="L14" s="11"/>
      <c r="M14" s="11" t="s">
        <v>55</v>
      </c>
      <c r="N14" s="11">
        <f t="shared" si="1"/>
        <v>10</v>
      </c>
      <c r="O14" s="11" t="str">
        <f>IFERROR(VLOOKUP(A14,DATA_ITEM,9,FALSE),"")</f>
        <v>rim</v>
      </c>
      <c r="P14" s="11" t="s">
        <v>529</v>
      </c>
      <c r="Q14" s="62">
        <f t="shared" si="2"/>
        <v>90000</v>
      </c>
      <c r="R14" s="62" t="s">
        <v>533</v>
      </c>
      <c r="S14" s="63">
        <f t="shared" si="3"/>
        <v>900000</v>
      </c>
    </row>
    <row r="15" spans="1:25" ht="15.75" hidden="1" customHeight="1" x14ac:dyDescent="0.3">
      <c r="A15" t="str">
        <f t="shared" si="4"/>
        <v>BPU05 3</v>
      </c>
      <c r="B15">
        <v>0</v>
      </c>
      <c r="C15">
        <f t="shared" si="5"/>
        <v>3</v>
      </c>
      <c r="D15">
        <v>3</v>
      </c>
      <c r="E15" s="55"/>
      <c r="F15" s="11"/>
      <c r="G15" s="13">
        <f>IFERROR(IF(H15&lt;&gt;"",COUNTA($H$13:H15),""),"")</f>
        <v>3</v>
      </c>
      <c r="H15" s="11" t="str">
        <f t="shared" si="0"/>
        <v>Catridge Printer IP 2770 810 Hitam- IP 2770 810 Hitam</v>
      </c>
      <c r="I15" s="11"/>
      <c r="J15" s="11"/>
      <c r="K15" s="11"/>
      <c r="L15" s="11"/>
      <c r="M15" s="11" t="s">
        <v>55</v>
      </c>
      <c r="N15" s="11">
        <f t="shared" si="1"/>
        <v>1</v>
      </c>
      <c r="O15" s="11" t="str">
        <f t="shared" ref="O15:O42" si="6">IFERROR(VLOOKUP(A15,DATA_ITEM,9,FALSE),"")</f>
        <v>unit</v>
      </c>
      <c r="P15" s="11" t="s">
        <v>529</v>
      </c>
      <c r="Q15" s="62">
        <f t="shared" si="2"/>
        <v>300000</v>
      </c>
      <c r="R15" s="62" t="s">
        <v>533</v>
      </c>
      <c r="S15" s="63">
        <f t="shared" si="3"/>
        <v>300000</v>
      </c>
    </row>
    <row r="16" spans="1:25" ht="15.75" hidden="1" customHeight="1" x14ac:dyDescent="0.3">
      <c r="A16" t="str">
        <f t="shared" si="4"/>
        <v>BPU05 4</v>
      </c>
      <c r="B16">
        <v>0</v>
      </c>
      <c r="C16">
        <f t="shared" si="5"/>
        <v>4</v>
      </c>
      <c r="D16">
        <v>4</v>
      </c>
      <c r="E16" s="55"/>
      <c r="F16" s="11"/>
      <c r="G16" s="13">
        <f>IFERROR(IF(H16&lt;&gt;"",COUNTA($H$13:H16),""),"")</f>
        <v>4</v>
      </c>
      <c r="H16" s="11" t="str">
        <f t="shared" si="0"/>
        <v>Spidol Whiteboard Warna Hitam BG 12 Snowman</v>
      </c>
      <c r="I16" s="11"/>
      <c r="J16" s="11"/>
      <c r="K16" s="11"/>
      <c r="L16" s="11"/>
      <c r="M16" s="11" t="s">
        <v>55</v>
      </c>
      <c r="N16" s="11">
        <f t="shared" si="1"/>
        <v>24</v>
      </c>
      <c r="O16" s="11" t="str">
        <f t="shared" si="6"/>
        <v>buah</v>
      </c>
      <c r="P16" s="11" t="s">
        <v>529</v>
      </c>
      <c r="Q16" s="62">
        <f t="shared" si="2"/>
        <v>10000</v>
      </c>
      <c r="R16" s="62" t="s">
        <v>533</v>
      </c>
      <c r="S16" s="63">
        <f t="shared" si="3"/>
        <v>240000</v>
      </c>
    </row>
    <row r="17" spans="1:19" ht="15.75" hidden="1" customHeight="1" x14ac:dyDescent="0.3">
      <c r="A17" t="str">
        <f t="shared" si="4"/>
        <v>BPU05 5</v>
      </c>
      <c r="B17">
        <v>0</v>
      </c>
      <c r="C17">
        <f t="shared" si="5"/>
        <v>5</v>
      </c>
      <c r="D17">
        <v>5</v>
      </c>
      <c r="E17" s="55"/>
      <c r="F17" s="11"/>
      <c r="G17" s="13">
        <f>IFERROR(IF(H17&lt;&gt;"",COUNTA($H$13:H17),""),"")</f>
        <v>5</v>
      </c>
      <c r="H17" s="11" t="str">
        <f t="shared" si="0"/>
        <v>Catridge Printer IP 2770 811 Warna- IP 2770 811 Warna</v>
      </c>
      <c r="I17" s="11"/>
      <c r="J17" s="11"/>
      <c r="K17" s="11"/>
      <c r="L17" s="11"/>
      <c r="M17" s="11" t="s">
        <v>55</v>
      </c>
      <c r="N17" s="11">
        <f t="shared" si="1"/>
        <v>1</v>
      </c>
      <c r="O17" s="11" t="str">
        <f t="shared" si="6"/>
        <v>unit</v>
      </c>
      <c r="P17" s="11" t="s">
        <v>529</v>
      </c>
      <c r="Q17" s="62">
        <f t="shared" si="2"/>
        <v>350000</v>
      </c>
      <c r="R17" s="62" t="s">
        <v>533</v>
      </c>
      <c r="S17" s="63">
        <f t="shared" si="3"/>
        <v>350000</v>
      </c>
    </row>
    <row r="18" spans="1:19" ht="15.75" hidden="1" customHeight="1" x14ac:dyDescent="0.3">
      <c r="A18" t="str">
        <f t="shared" si="4"/>
        <v>BPU05 6</v>
      </c>
      <c r="B18">
        <v>0</v>
      </c>
      <c r="C18">
        <f>D18</f>
        <v>6</v>
      </c>
      <c r="D18">
        <v>6</v>
      </c>
      <c r="E18" s="55"/>
      <c r="F18" s="11"/>
      <c r="G18" s="13" t="str">
        <f>IFERROR(IF(H18&lt;&gt;"",COUNTA($H$13:H18),""),"")</f>
        <v/>
      </c>
      <c r="H18" s="11" t="str">
        <f t="shared" si="0"/>
        <v/>
      </c>
      <c r="I18" s="11"/>
      <c r="J18" s="11"/>
      <c r="K18" s="11"/>
      <c r="L18" s="11"/>
      <c r="M18" s="11" t="s">
        <v>55</v>
      </c>
      <c r="N18" s="11" t="str">
        <f t="shared" si="1"/>
        <v/>
      </c>
      <c r="O18" s="11" t="str">
        <f t="shared" si="6"/>
        <v/>
      </c>
      <c r="P18" s="11" t="s">
        <v>529</v>
      </c>
      <c r="Q18" s="62" t="str">
        <f t="shared" si="2"/>
        <v/>
      </c>
      <c r="R18" s="62" t="s">
        <v>533</v>
      </c>
      <c r="S18" s="63" t="str">
        <f t="shared" si="3"/>
        <v/>
      </c>
    </row>
    <row r="19" spans="1:19" ht="15.75" hidden="1" customHeight="1" x14ac:dyDescent="0.3">
      <c r="A19" t="str">
        <f t="shared" si="4"/>
        <v>BPU05 7</v>
      </c>
      <c r="B19">
        <v>0</v>
      </c>
      <c r="C19">
        <f t="shared" ref="C19:C29" si="7">D19</f>
        <v>7</v>
      </c>
      <c r="D19">
        <v>7</v>
      </c>
      <c r="E19" s="55"/>
      <c r="F19" s="11"/>
      <c r="G19" s="13" t="str">
        <f>IFERROR(IF(H19&lt;&gt;"",COUNTA($H$13:H19),""),"")</f>
        <v/>
      </c>
      <c r="H19" s="11" t="str">
        <f t="shared" si="0"/>
        <v/>
      </c>
      <c r="I19" s="11"/>
      <c r="J19" s="11"/>
      <c r="K19" s="11"/>
      <c r="L19" s="11"/>
      <c r="M19" s="11" t="s">
        <v>55</v>
      </c>
      <c r="N19" s="11" t="str">
        <f t="shared" si="1"/>
        <v/>
      </c>
      <c r="O19" s="11" t="str">
        <f t="shared" si="6"/>
        <v/>
      </c>
      <c r="P19" s="11" t="s">
        <v>529</v>
      </c>
      <c r="Q19" s="62" t="str">
        <f t="shared" si="2"/>
        <v/>
      </c>
      <c r="R19" s="62" t="s">
        <v>533</v>
      </c>
      <c r="S19" s="63" t="str">
        <f t="shared" si="3"/>
        <v/>
      </c>
    </row>
    <row r="20" spans="1:19" ht="15.75" hidden="1" customHeight="1" x14ac:dyDescent="0.3">
      <c r="A20" t="str">
        <f t="shared" si="4"/>
        <v>BPU05 8</v>
      </c>
      <c r="B20">
        <v>0</v>
      </c>
      <c r="C20">
        <f t="shared" si="7"/>
        <v>8</v>
      </c>
      <c r="D20">
        <v>8</v>
      </c>
      <c r="E20" s="55"/>
      <c r="F20" s="11"/>
      <c r="G20" s="13" t="str">
        <f>IFERROR(IF(H20&lt;&gt;"",COUNTA($H$13:H20),""),"")</f>
        <v/>
      </c>
      <c r="H20" s="11" t="str">
        <f t="shared" si="0"/>
        <v/>
      </c>
      <c r="I20" s="11"/>
      <c r="J20" s="11"/>
      <c r="K20" s="11"/>
      <c r="L20" s="11"/>
      <c r="M20" s="11" t="s">
        <v>55</v>
      </c>
      <c r="N20" s="11" t="str">
        <f t="shared" si="1"/>
        <v/>
      </c>
      <c r="O20" s="11" t="str">
        <f t="shared" si="6"/>
        <v/>
      </c>
      <c r="P20" s="11" t="s">
        <v>529</v>
      </c>
      <c r="Q20" s="62" t="str">
        <f t="shared" si="2"/>
        <v/>
      </c>
      <c r="R20" s="62" t="s">
        <v>533</v>
      </c>
      <c r="S20" s="63" t="str">
        <f t="shared" si="3"/>
        <v/>
      </c>
    </row>
    <row r="21" spans="1:19" ht="15.75" hidden="1" customHeight="1" x14ac:dyDescent="0.3">
      <c r="A21" t="str">
        <f t="shared" si="4"/>
        <v>BPU05 9</v>
      </c>
      <c r="B21">
        <v>0</v>
      </c>
      <c r="C21">
        <f t="shared" si="7"/>
        <v>9</v>
      </c>
      <c r="D21">
        <v>9</v>
      </c>
      <c r="E21" s="55"/>
      <c r="F21" s="11"/>
      <c r="G21" s="13" t="str">
        <f>IFERROR(IF(H21&lt;&gt;"",COUNTA($H$13:H21),""),"")</f>
        <v/>
      </c>
      <c r="H21" s="11" t="str">
        <f t="shared" si="0"/>
        <v/>
      </c>
      <c r="I21" s="11"/>
      <c r="J21" s="11"/>
      <c r="K21" s="11"/>
      <c r="L21" s="11"/>
      <c r="M21" s="11" t="s">
        <v>55</v>
      </c>
      <c r="N21" s="11" t="str">
        <f t="shared" si="1"/>
        <v/>
      </c>
      <c r="O21" s="11" t="str">
        <f t="shared" si="6"/>
        <v/>
      </c>
      <c r="P21" s="11" t="s">
        <v>529</v>
      </c>
      <c r="Q21" s="62" t="str">
        <f t="shared" si="2"/>
        <v/>
      </c>
      <c r="R21" s="62" t="s">
        <v>533</v>
      </c>
      <c r="S21" s="63" t="str">
        <f t="shared" si="3"/>
        <v/>
      </c>
    </row>
    <row r="22" spans="1:19" ht="15.75" hidden="1" customHeight="1" x14ac:dyDescent="0.3">
      <c r="A22" t="str">
        <f t="shared" si="4"/>
        <v>BPU05 10</v>
      </c>
      <c r="B22">
        <v>0</v>
      </c>
      <c r="C22">
        <f t="shared" si="7"/>
        <v>10</v>
      </c>
      <c r="D22">
        <v>10</v>
      </c>
      <c r="E22" s="55"/>
      <c r="F22" s="11"/>
      <c r="G22" s="13" t="str">
        <f>IFERROR(IF(H22&lt;&gt;"",COUNTA($H$13:H22),""),"")</f>
        <v/>
      </c>
      <c r="H22" s="11" t="str">
        <f t="shared" si="0"/>
        <v/>
      </c>
      <c r="I22" s="11"/>
      <c r="J22" s="11"/>
      <c r="K22" s="11"/>
      <c r="L22" s="11"/>
      <c r="M22" s="11" t="s">
        <v>55</v>
      </c>
      <c r="N22" s="11" t="str">
        <f t="shared" si="1"/>
        <v/>
      </c>
      <c r="O22" s="11" t="str">
        <f t="shared" si="6"/>
        <v/>
      </c>
      <c r="P22" s="11" t="s">
        <v>529</v>
      </c>
      <c r="Q22" s="62" t="str">
        <f t="shared" si="2"/>
        <v/>
      </c>
      <c r="R22" s="62" t="s">
        <v>533</v>
      </c>
      <c r="S22" s="63" t="str">
        <f t="shared" si="3"/>
        <v/>
      </c>
    </row>
    <row r="23" spans="1:19" ht="15.75" hidden="1" customHeight="1" x14ac:dyDescent="0.3">
      <c r="A23" t="str">
        <f t="shared" si="4"/>
        <v>BPU05 11</v>
      </c>
      <c r="B23">
        <v>0</v>
      </c>
      <c r="C23">
        <f t="shared" si="7"/>
        <v>11</v>
      </c>
      <c r="D23">
        <v>11</v>
      </c>
      <c r="E23" s="55"/>
      <c r="F23" s="11"/>
      <c r="G23" s="13" t="str">
        <f>IFERROR(IF(H23&lt;&gt;"",COUNTA($H$13:H23),""),"")</f>
        <v/>
      </c>
      <c r="H23" s="11" t="str">
        <f t="shared" si="0"/>
        <v/>
      </c>
      <c r="I23" s="11"/>
      <c r="J23" s="11"/>
      <c r="K23" s="11"/>
      <c r="L23" s="11"/>
      <c r="M23" s="11" t="s">
        <v>55</v>
      </c>
      <c r="N23" s="11" t="str">
        <f t="shared" si="1"/>
        <v/>
      </c>
      <c r="O23" s="11" t="str">
        <f t="shared" si="6"/>
        <v/>
      </c>
      <c r="P23" s="11" t="s">
        <v>529</v>
      </c>
      <c r="Q23" s="62" t="str">
        <f t="shared" si="2"/>
        <v/>
      </c>
      <c r="R23" s="62" t="s">
        <v>533</v>
      </c>
      <c r="S23" s="63" t="str">
        <f t="shared" si="3"/>
        <v/>
      </c>
    </row>
    <row r="24" spans="1:19" ht="15.75" hidden="1" customHeight="1" x14ac:dyDescent="0.3">
      <c r="A24" t="str">
        <f t="shared" si="4"/>
        <v>BPU05 12</v>
      </c>
      <c r="B24">
        <v>0</v>
      </c>
      <c r="C24">
        <f t="shared" si="7"/>
        <v>12</v>
      </c>
      <c r="D24">
        <v>12</v>
      </c>
      <c r="E24" s="55"/>
      <c r="F24" s="11"/>
      <c r="G24" s="13" t="str">
        <f>IFERROR(IF(H24&lt;&gt;"",COUNTA($H$13:H24),""),"")</f>
        <v/>
      </c>
      <c r="H24" s="11" t="str">
        <f t="shared" si="0"/>
        <v/>
      </c>
      <c r="I24" s="11"/>
      <c r="J24" s="11"/>
      <c r="K24" s="11"/>
      <c r="L24" s="11"/>
      <c r="M24" s="11" t="s">
        <v>55</v>
      </c>
      <c r="N24" s="11" t="str">
        <f t="shared" si="1"/>
        <v/>
      </c>
      <c r="O24" s="11" t="str">
        <f t="shared" si="6"/>
        <v/>
      </c>
      <c r="P24" s="11" t="s">
        <v>529</v>
      </c>
      <c r="Q24" s="62" t="str">
        <f t="shared" si="2"/>
        <v/>
      </c>
      <c r="R24" s="62" t="s">
        <v>533</v>
      </c>
      <c r="S24" s="63" t="str">
        <f t="shared" si="3"/>
        <v/>
      </c>
    </row>
    <row r="25" spans="1:19" ht="15.75" hidden="1" customHeight="1" x14ac:dyDescent="0.3">
      <c r="A25" t="str">
        <f t="shared" si="4"/>
        <v>BPU05 13</v>
      </c>
      <c r="B25">
        <v>0</v>
      </c>
      <c r="C25">
        <f t="shared" si="7"/>
        <v>13</v>
      </c>
      <c r="D25">
        <v>13</v>
      </c>
      <c r="E25" s="55"/>
      <c r="F25" s="11"/>
      <c r="G25" s="13" t="str">
        <f>IFERROR(IF(H25&lt;&gt;"",COUNTA($H$13:H25),""),"")</f>
        <v/>
      </c>
      <c r="H25" s="11" t="str">
        <f t="shared" si="0"/>
        <v/>
      </c>
      <c r="I25" s="11"/>
      <c r="J25" s="11"/>
      <c r="K25" s="11"/>
      <c r="L25" s="11"/>
      <c r="M25" s="11" t="s">
        <v>55</v>
      </c>
      <c r="N25" s="11" t="str">
        <f t="shared" si="1"/>
        <v/>
      </c>
      <c r="O25" s="11" t="str">
        <f t="shared" si="6"/>
        <v/>
      </c>
      <c r="P25" s="11" t="s">
        <v>529</v>
      </c>
      <c r="Q25" s="62" t="str">
        <f t="shared" si="2"/>
        <v/>
      </c>
      <c r="R25" s="62" t="s">
        <v>533</v>
      </c>
      <c r="S25" s="63" t="str">
        <f t="shared" si="3"/>
        <v/>
      </c>
    </row>
    <row r="26" spans="1:19" ht="15.6" hidden="1" x14ac:dyDescent="0.3">
      <c r="A26" t="str">
        <f t="shared" si="4"/>
        <v>BPU05 14</v>
      </c>
      <c r="B26">
        <v>0</v>
      </c>
      <c r="C26">
        <f t="shared" si="7"/>
        <v>14</v>
      </c>
      <c r="D26">
        <v>14</v>
      </c>
      <c r="E26" s="55"/>
      <c r="F26" s="11"/>
      <c r="G26" s="13" t="str">
        <f>IFERROR(IF(H26&lt;&gt;"",COUNTA($H$13:H26),""),"")</f>
        <v/>
      </c>
      <c r="H26" s="11" t="str">
        <f t="shared" si="0"/>
        <v/>
      </c>
      <c r="I26" s="11"/>
      <c r="J26" s="11"/>
      <c r="K26" s="11"/>
      <c r="L26" s="11"/>
      <c r="M26" s="11" t="s">
        <v>55</v>
      </c>
      <c r="N26" s="11" t="str">
        <f t="shared" si="1"/>
        <v/>
      </c>
      <c r="O26" s="11" t="str">
        <f t="shared" si="6"/>
        <v/>
      </c>
      <c r="P26" s="11" t="s">
        <v>529</v>
      </c>
      <c r="Q26" s="62" t="str">
        <f t="shared" si="2"/>
        <v/>
      </c>
      <c r="R26" s="62" t="s">
        <v>533</v>
      </c>
      <c r="S26" s="63" t="str">
        <f t="shared" si="3"/>
        <v/>
      </c>
    </row>
    <row r="27" spans="1:19" ht="15.6" hidden="1" x14ac:dyDescent="0.3">
      <c r="A27" t="str">
        <f t="shared" si="4"/>
        <v>BPU05 15</v>
      </c>
      <c r="B27">
        <v>0</v>
      </c>
      <c r="C27">
        <f t="shared" si="7"/>
        <v>15</v>
      </c>
      <c r="D27">
        <v>15</v>
      </c>
      <c r="E27" s="55"/>
      <c r="F27" s="11"/>
      <c r="G27" s="13" t="str">
        <f>IFERROR(IF(H27&lt;&gt;"",COUNTA($H$13:H27),""),"")</f>
        <v/>
      </c>
      <c r="H27" s="11" t="str">
        <f t="shared" si="0"/>
        <v/>
      </c>
      <c r="I27" s="11"/>
      <c r="J27" s="11"/>
      <c r="K27" s="11"/>
      <c r="L27" s="11"/>
      <c r="M27" s="11" t="s">
        <v>55</v>
      </c>
      <c r="N27" s="11" t="str">
        <f t="shared" si="1"/>
        <v/>
      </c>
      <c r="O27" s="11" t="str">
        <f t="shared" si="6"/>
        <v/>
      </c>
      <c r="P27" s="11" t="s">
        <v>529</v>
      </c>
      <c r="Q27" s="62" t="str">
        <f t="shared" si="2"/>
        <v/>
      </c>
      <c r="R27" s="62" t="s">
        <v>533</v>
      </c>
      <c r="S27" s="63" t="str">
        <f t="shared" si="3"/>
        <v/>
      </c>
    </row>
    <row r="28" spans="1:19" ht="15.6" hidden="1" x14ac:dyDescent="0.3">
      <c r="A28" t="str">
        <f t="shared" si="4"/>
        <v>BPU05 16</v>
      </c>
      <c r="B28">
        <v>0</v>
      </c>
      <c r="C28">
        <f t="shared" si="7"/>
        <v>16</v>
      </c>
      <c r="D28">
        <v>16</v>
      </c>
      <c r="E28" s="55"/>
      <c r="F28" s="11"/>
      <c r="G28" s="13" t="str">
        <f>IFERROR(IF(H28&lt;&gt;"",COUNTA($H$13:H28),""),"")</f>
        <v/>
      </c>
      <c r="H28" s="11" t="str">
        <f t="shared" si="0"/>
        <v/>
      </c>
      <c r="I28" s="11"/>
      <c r="J28" s="11"/>
      <c r="K28" s="11"/>
      <c r="L28" s="11"/>
      <c r="M28" s="11" t="s">
        <v>55</v>
      </c>
      <c r="N28" s="11" t="str">
        <f t="shared" si="1"/>
        <v/>
      </c>
      <c r="O28" s="11" t="str">
        <f t="shared" si="6"/>
        <v/>
      </c>
      <c r="P28" s="11" t="s">
        <v>529</v>
      </c>
      <c r="Q28" s="62" t="str">
        <f t="shared" si="2"/>
        <v/>
      </c>
      <c r="R28" s="62" t="s">
        <v>533</v>
      </c>
      <c r="S28" s="63" t="str">
        <f t="shared" si="3"/>
        <v/>
      </c>
    </row>
    <row r="29" spans="1:19" ht="15.6" hidden="1" x14ac:dyDescent="0.3">
      <c r="A29" t="str">
        <f t="shared" si="4"/>
        <v>BPU05 17</v>
      </c>
      <c r="B29">
        <v>0</v>
      </c>
      <c r="C29">
        <f t="shared" si="7"/>
        <v>17</v>
      </c>
      <c r="D29">
        <v>17</v>
      </c>
      <c r="E29" s="55"/>
      <c r="F29" s="11"/>
      <c r="G29" s="13" t="str">
        <f>IFERROR(IF(H29&lt;&gt;"",COUNTA($H$13:H29),""),"")</f>
        <v/>
      </c>
      <c r="H29" s="11" t="str">
        <f t="shared" si="0"/>
        <v/>
      </c>
      <c r="I29" s="11"/>
      <c r="J29" s="11"/>
      <c r="K29" s="11"/>
      <c r="L29" s="11"/>
      <c r="M29" s="11" t="s">
        <v>55</v>
      </c>
      <c r="N29" s="11" t="str">
        <f t="shared" si="1"/>
        <v/>
      </c>
      <c r="O29" s="11" t="str">
        <f t="shared" si="6"/>
        <v/>
      </c>
      <c r="P29" s="11" t="s">
        <v>529</v>
      </c>
      <c r="Q29" s="62" t="str">
        <f t="shared" si="2"/>
        <v/>
      </c>
      <c r="R29" s="62" t="s">
        <v>533</v>
      </c>
      <c r="S29" s="63" t="str">
        <f t="shared" si="3"/>
        <v/>
      </c>
    </row>
    <row r="30" spans="1:19" ht="15.6" hidden="1" x14ac:dyDescent="0.3">
      <c r="A30" t="str">
        <f t="shared" si="4"/>
        <v>BPU05 18</v>
      </c>
      <c r="B30">
        <v>0</v>
      </c>
      <c r="C30">
        <f t="shared" si="5"/>
        <v>18</v>
      </c>
      <c r="D30">
        <v>18</v>
      </c>
      <c r="E30" s="55"/>
      <c r="F30" s="11"/>
      <c r="G30" s="13" t="str">
        <f>IFERROR(IF(H30&lt;&gt;"",COUNTA($H$13:H30),""),"")</f>
        <v/>
      </c>
      <c r="H30" s="11" t="str">
        <f t="shared" si="0"/>
        <v/>
      </c>
      <c r="I30" s="11"/>
      <c r="J30" s="11"/>
      <c r="K30" s="11"/>
      <c r="L30" s="11"/>
      <c r="M30" s="11" t="s">
        <v>55</v>
      </c>
      <c r="N30" s="11" t="str">
        <f t="shared" si="1"/>
        <v/>
      </c>
      <c r="O30" s="11" t="str">
        <f t="shared" si="6"/>
        <v/>
      </c>
      <c r="P30" s="11" t="s">
        <v>529</v>
      </c>
      <c r="Q30" s="62" t="str">
        <f t="shared" si="2"/>
        <v/>
      </c>
      <c r="R30" s="62" t="s">
        <v>533</v>
      </c>
      <c r="S30" s="63" t="str">
        <f t="shared" si="3"/>
        <v/>
      </c>
    </row>
    <row r="31" spans="1:19" ht="15.6" hidden="1" x14ac:dyDescent="0.3">
      <c r="A31" t="str">
        <f t="shared" si="4"/>
        <v>BPU05 19</v>
      </c>
      <c r="B31">
        <v>0</v>
      </c>
      <c r="C31">
        <f t="shared" si="5"/>
        <v>19</v>
      </c>
      <c r="D31">
        <v>19</v>
      </c>
      <c r="E31" s="55"/>
      <c r="F31" s="11"/>
      <c r="G31" s="13" t="str">
        <f>IFERROR(IF(H31&lt;&gt;"",COUNTA($H$13:H31),""),"")</f>
        <v/>
      </c>
      <c r="H31" s="11" t="str">
        <f t="shared" si="0"/>
        <v/>
      </c>
      <c r="I31" s="11"/>
      <c r="J31" s="11"/>
      <c r="K31" s="11"/>
      <c r="L31" s="11"/>
      <c r="M31" s="11" t="s">
        <v>55</v>
      </c>
      <c r="N31" s="11" t="str">
        <f t="shared" si="1"/>
        <v/>
      </c>
      <c r="O31" s="11" t="str">
        <f t="shared" si="6"/>
        <v/>
      </c>
      <c r="P31" s="11" t="s">
        <v>529</v>
      </c>
      <c r="Q31" s="62" t="str">
        <f t="shared" si="2"/>
        <v/>
      </c>
      <c r="R31" s="62" t="s">
        <v>533</v>
      </c>
      <c r="S31" s="63" t="str">
        <f t="shared" si="3"/>
        <v/>
      </c>
    </row>
    <row r="32" spans="1:19" ht="15.6" hidden="1" x14ac:dyDescent="0.3">
      <c r="A32" t="str">
        <f t="shared" si="4"/>
        <v>BPU05 20</v>
      </c>
      <c r="B32">
        <v>0</v>
      </c>
      <c r="C32">
        <f t="shared" si="5"/>
        <v>20</v>
      </c>
      <c r="D32">
        <v>20</v>
      </c>
      <c r="E32" s="55"/>
      <c r="F32" s="11"/>
      <c r="G32" s="13" t="str">
        <f>IFERROR(IF(H32&lt;&gt;"",COUNTA($H$13:H32),""),"")</f>
        <v/>
      </c>
      <c r="H32" s="11" t="str">
        <f t="shared" si="0"/>
        <v/>
      </c>
      <c r="I32" s="11"/>
      <c r="J32" s="11"/>
      <c r="K32" s="11"/>
      <c r="L32" s="11"/>
      <c r="M32" s="11" t="s">
        <v>55</v>
      </c>
      <c r="N32" s="11" t="str">
        <f t="shared" si="1"/>
        <v/>
      </c>
      <c r="O32" s="11" t="str">
        <f t="shared" si="6"/>
        <v/>
      </c>
      <c r="P32" s="11" t="s">
        <v>529</v>
      </c>
      <c r="Q32" s="62" t="str">
        <f t="shared" si="2"/>
        <v/>
      </c>
      <c r="R32" s="62" t="s">
        <v>533</v>
      </c>
      <c r="S32" s="63" t="str">
        <f t="shared" si="3"/>
        <v/>
      </c>
    </row>
    <row r="33" spans="1:25" ht="15.6" hidden="1" x14ac:dyDescent="0.3">
      <c r="A33" t="str">
        <f t="shared" si="4"/>
        <v>BPU05 21</v>
      </c>
      <c r="B33">
        <v>0</v>
      </c>
      <c r="C33">
        <f t="shared" si="5"/>
        <v>21</v>
      </c>
      <c r="D33">
        <v>21</v>
      </c>
      <c r="E33" s="55"/>
      <c r="F33" s="11"/>
      <c r="G33" s="13" t="str">
        <f>IFERROR(IF(H33&lt;&gt;"",COUNTA($H$13:H33),""),"")</f>
        <v/>
      </c>
      <c r="H33" s="11" t="str">
        <f t="shared" si="0"/>
        <v/>
      </c>
      <c r="I33" s="11"/>
      <c r="J33" s="11"/>
      <c r="K33" s="11"/>
      <c r="L33" s="11"/>
      <c r="M33" s="11" t="s">
        <v>55</v>
      </c>
      <c r="N33" s="11" t="str">
        <f t="shared" si="1"/>
        <v/>
      </c>
      <c r="O33" s="11" t="str">
        <f t="shared" si="6"/>
        <v/>
      </c>
      <c r="P33" s="11" t="s">
        <v>529</v>
      </c>
      <c r="Q33" s="62" t="str">
        <f t="shared" si="2"/>
        <v/>
      </c>
      <c r="R33" s="62" t="s">
        <v>533</v>
      </c>
      <c r="S33" s="63" t="str">
        <f t="shared" si="3"/>
        <v/>
      </c>
    </row>
    <row r="34" spans="1:25" ht="15.6" hidden="1" x14ac:dyDescent="0.3">
      <c r="A34" t="str">
        <f t="shared" si="4"/>
        <v>BPU05 22</v>
      </c>
      <c r="B34">
        <v>0</v>
      </c>
      <c r="C34">
        <f t="shared" si="5"/>
        <v>22</v>
      </c>
      <c r="D34">
        <v>22</v>
      </c>
      <c r="E34" s="55"/>
      <c r="F34" s="11"/>
      <c r="G34" s="13" t="str">
        <f>IFERROR(IF(H34&lt;&gt;"",COUNTA($H$13:H34),""),"")</f>
        <v/>
      </c>
      <c r="H34" s="11" t="str">
        <f t="shared" si="0"/>
        <v/>
      </c>
      <c r="I34" s="11"/>
      <c r="J34" s="11"/>
      <c r="K34" s="11"/>
      <c r="L34" s="11"/>
      <c r="M34" s="11" t="s">
        <v>55</v>
      </c>
      <c r="N34" s="11" t="str">
        <f t="shared" si="1"/>
        <v/>
      </c>
      <c r="O34" s="11" t="str">
        <f t="shared" si="6"/>
        <v/>
      </c>
      <c r="P34" s="11" t="s">
        <v>529</v>
      </c>
      <c r="Q34" s="62" t="str">
        <f t="shared" si="2"/>
        <v/>
      </c>
      <c r="R34" s="62" t="s">
        <v>533</v>
      </c>
      <c r="S34" s="63" t="str">
        <f t="shared" si="3"/>
        <v/>
      </c>
    </row>
    <row r="35" spans="1:25" ht="15.6" hidden="1" x14ac:dyDescent="0.3">
      <c r="A35" t="str">
        <f t="shared" si="4"/>
        <v>BPU05 23</v>
      </c>
      <c r="B35">
        <v>0</v>
      </c>
      <c r="C35">
        <f t="shared" si="5"/>
        <v>23</v>
      </c>
      <c r="D35">
        <v>23</v>
      </c>
      <c r="E35" s="55"/>
      <c r="F35" s="11"/>
      <c r="G35" s="13" t="str">
        <f>IFERROR(IF(H35&lt;&gt;"",COUNTA($H$13:H35),""),"")</f>
        <v/>
      </c>
      <c r="H35" s="11" t="str">
        <f t="shared" si="0"/>
        <v/>
      </c>
      <c r="I35" s="11"/>
      <c r="J35" s="11"/>
      <c r="K35" s="11"/>
      <c r="L35" s="11"/>
      <c r="M35" s="11" t="s">
        <v>55</v>
      </c>
      <c r="N35" s="11" t="str">
        <f t="shared" si="1"/>
        <v/>
      </c>
      <c r="O35" s="11" t="str">
        <f t="shared" si="6"/>
        <v/>
      </c>
      <c r="P35" s="11" t="s">
        <v>529</v>
      </c>
      <c r="Q35" s="62" t="str">
        <f t="shared" si="2"/>
        <v/>
      </c>
      <c r="R35" s="62" t="s">
        <v>533</v>
      </c>
      <c r="S35" s="63" t="str">
        <f t="shared" si="3"/>
        <v/>
      </c>
    </row>
    <row r="36" spans="1:25" ht="15.6" hidden="1" x14ac:dyDescent="0.3">
      <c r="A36" t="str">
        <f t="shared" si="4"/>
        <v>BPU05 24</v>
      </c>
      <c r="B36">
        <v>0</v>
      </c>
      <c r="C36">
        <f t="shared" si="5"/>
        <v>24</v>
      </c>
      <c r="D36">
        <v>24</v>
      </c>
      <c r="E36" s="55"/>
      <c r="F36" s="11"/>
      <c r="G36" s="13" t="str">
        <f>IFERROR(IF(H36&lt;&gt;"",COUNTA($H$13:H36),""),"")</f>
        <v/>
      </c>
      <c r="H36" s="11" t="str">
        <f t="shared" si="0"/>
        <v/>
      </c>
      <c r="I36" s="11"/>
      <c r="J36" s="11"/>
      <c r="K36" s="11"/>
      <c r="L36" s="11"/>
      <c r="M36" s="11" t="s">
        <v>55</v>
      </c>
      <c r="N36" s="11" t="str">
        <f t="shared" si="1"/>
        <v/>
      </c>
      <c r="O36" s="11" t="str">
        <f t="shared" si="6"/>
        <v/>
      </c>
      <c r="P36" s="11" t="s">
        <v>529</v>
      </c>
      <c r="Q36" s="62" t="str">
        <f t="shared" si="2"/>
        <v/>
      </c>
      <c r="R36" s="62" t="s">
        <v>533</v>
      </c>
      <c r="S36" s="63" t="str">
        <f t="shared" si="3"/>
        <v/>
      </c>
    </row>
    <row r="37" spans="1:25" ht="15.6" hidden="1" x14ac:dyDescent="0.3">
      <c r="A37" t="str">
        <f t="shared" si="4"/>
        <v>BPU05 25</v>
      </c>
      <c r="B37">
        <v>0</v>
      </c>
      <c r="C37">
        <f t="shared" si="5"/>
        <v>25</v>
      </c>
      <c r="D37">
        <v>25</v>
      </c>
      <c r="E37" s="55"/>
      <c r="F37" s="11"/>
      <c r="G37" s="13" t="str">
        <f>IFERROR(IF(H37&lt;&gt;"",COUNTA($H$13:H37),""),"")</f>
        <v/>
      </c>
      <c r="H37" s="11" t="str">
        <f t="shared" si="0"/>
        <v/>
      </c>
      <c r="I37" s="11"/>
      <c r="J37" s="11"/>
      <c r="K37" s="11"/>
      <c r="L37" s="11"/>
      <c r="M37" s="11" t="s">
        <v>55</v>
      </c>
      <c r="N37" s="11" t="str">
        <f t="shared" si="1"/>
        <v/>
      </c>
      <c r="O37" s="11" t="str">
        <f t="shared" si="6"/>
        <v/>
      </c>
      <c r="P37" s="11" t="s">
        <v>529</v>
      </c>
      <c r="Q37" s="62" t="str">
        <f t="shared" si="2"/>
        <v/>
      </c>
      <c r="R37" s="62" t="s">
        <v>533</v>
      </c>
      <c r="S37" s="63" t="str">
        <f t="shared" si="3"/>
        <v/>
      </c>
    </row>
    <row r="38" spans="1:25" ht="15.6" hidden="1" x14ac:dyDescent="0.3">
      <c r="A38" t="str">
        <f t="shared" si="4"/>
        <v>BPU05 26</v>
      </c>
      <c r="B38">
        <v>0</v>
      </c>
      <c r="C38">
        <f t="shared" si="5"/>
        <v>26</v>
      </c>
      <c r="D38">
        <v>26</v>
      </c>
      <c r="E38" s="55"/>
      <c r="F38" s="11"/>
      <c r="G38" s="13" t="str">
        <f>IFERROR(IF(H38&lt;&gt;"",COUNTA($H$13:H38),""),"")</f>
        <v/>
      </c>
      <c r="H38" s="11" t="str">
        <f t="shared" si="0"/>
        <v/>
      </c>
      <c r="I38" s="11"/>
      <c r="J38" s="11"/>
      <c r="K38" s="11"/>
      <c r="L38" s="11"/>
      <c r="M38" s="11" t="s">
        <v>55</v>
      </c>
      <c r="N38" s="11" t="str">
        <f t="shared" si="1"/>
        <v/>
      </c>
      <c r="O38" s="11" t="str">
        <f t="shared" si="6"/>
        <v/>
      </c>
      <c r="P38" s="11" t="s">
        <v>529</v>
      </c>
      <c r="Q38" s="62" t="str">
        <f t="shared" si="2"/>
        <v/>
      </c>
      <c r="R38" s="62" t="s">
        <v>533</v>
      </c>
      <c r="S38" s="63" t="str">
        <f t="shared" si="3"/>
        <v/>
      </c>
    </row>
    <row r="39" spans="1:25" ht="15.6" hidden="1" x14ac:dyDescent="0.3">
      <c r="A39" t="str">
        <f t="shared" si="4"/>
        <v>BPU05 27</v>
      </c>
      <c r="B39">
        <v>0</v>
      </c>
      <c r="C39">
        <f t="shared" si="5"/>
        <v>27</v>
      </c>
      <c r="D39">
        <v>27</v>
      </c>
      <c r="E39" s="55"/>
      <c r="F39" s="11"/>
      <c r="G39" s="13" t="str">
        <f>IFERROR(IF(H39&lt;&gt;"",COUNTA($H$13:H39),""),"")</f>
        <v/>
      </c>
      <c r="H39" s="11" t="str">
        <f t="shared" si="0"/>
        <v/>
      </c>
      <c r="I39" s="11"/>
      <c r="J39" s="11"/>
      <c r="K39" s="11"/>
      <c r="L39" s="11"/>
      <c r="M39" s="11" t="s">
        <v>55</v>
      </c>
      <c r="N39" s="11" t="str">
        <f t="shared" si="1"/>
        <v/>
      </c>
      <c r="O39" s="11" t="str">
        <f t="shared" si="6"/>
        <v/>
      </c>
      <c r="P39" s="11" t="s">
        <v>529</v>
      </c>
      <c r="Q39" s="62" t="str">
        <f t="shared" si="2"/>
        <v/>
      </c>
      <c r="R39" s="62" t="s">
        <v>533</v>
      </c>
      <c r="S39" s="63" t="str">
        <f t="shared" si="3"/>
        <v/>
      </c>
    </row>
    <row r="40" spans="1:25" ht="15.6" hidden="1" x14ac:dyDescent="0.3">
      <c r="A40" t="str">
        <f t="shared" si="4"/>
        <v>BPU05 28</v>
      </c>
      <c r="B40">
        <v>0</v>
      </c>
      <c r="C40">
        <f t="shared" si="5"/>
        <v>28</v>
      </c>
      <c r="D40">
        <v>28</v>
      </c>
      <c r="E40" s="55"/>
      <c r="F40" s="11"/>
      <c r="G40" s="13" t="str">
        <f>IFERROR(IF(H40&lt;&gt;"",COUNTA($H$13:H40),""),"")</f>
        <v/>
      </c>
      <c r="H40" s="11" t="str">
        <f t="shared" si="0"/>
        <v/>
      </c>
      <c r="I40" s="11"/>
      <c r="J40" s="11"/>
      <c r="K40" s="11"/>
      <c r="L40" s="11"/>
      <c r="M40" s="11" t="s">
        <v>55</v>
      </c>
      <c r="N40" s="11" t="str">
        <f t="shared" si="1"/>
        <v/>
      </c>
      <c r="O40" s="11" t="str">
        <f t="shared" si="6"/>
        <v/>
      </c>
      <c r="P40" s="11" t="s">
        <v>529</v>
      </c>
      <c r="Q40" s="62" t="str">
        <f t="shared" si="2"/>
        <v/>
      </c>
      <c r="R40" s="62" t="s">
        <v>533</v>
      </c>
      <c r="S40" s="63" t="str">
        <f t="shared" si="3"/>
        <v/>
      </c>
    </row>
    <row r="41" spans="1:25" ht="15.6" hidden="1" x14ac:dyDescent="0.3">
      <c r="A41" t="str">
        <f t="shared" si="4"/>
        <v>BPU05 29</v>
      </c>
      <c r="B41">
        <v>0</v>
      </c>
      <c r="C41">
        <f t="shared" si="5"/>
        <v>29</v>
      </c>
      <c r="D41">
        <v>29</v>
      </c>
      <c r="E41" s="55"/>
      <c r="F41" s="11"/>
      <c r="G41" s="13" t="str">
        <f>IFERROR(IF(H41&lt;&gt;"",COUNTA($H$13:H41),""),"")</f>
        <v/>
      </c>
      <c r="H41" s="11" t="str">
        <f t="shared" si="0"/>
        <v/>
      </c>
      <c r="I41" s="11"/>
      <c r="J41" s="11"/>
      <c r="K41" s="11"/>
      <c r="L41" s="11"/>
      <c r="M41" s="11" t="s">
        <v>55</v>
      </c>
      <c r="N41" s="11" t="str">
        <f t="shared" si="1"/>
        <v/>
      </c>
      <c r="O41" s="11" t="str">
        <f t="shared" si="6"/>
        <v/>
      </c>
      <c r="P41" s="11" t="s">
        <v>529</v>
      </c>
      <c r="Q41" s="62" t="str">
        <f t="shared" si="2"/>
        <v/>
      </c>
      <c r="R41" s="62" t="s">
        <v>533</v>
      </c>
      <c r="S41" s="63" t="str">
        <f t="shared" si="3"/>
        <v/>
      </c>
    </row>
    <row r="42" spans="1:25" ht="15.6" hidden="1" x14ac:dyDescent="0.3">
      <c r="A42" t="str">
        <f t="shared" si="4"/>
        <v>BPU05 30</v>
      </c>
      <c r="B42">
        <v>0</v>
      </c>
      <c r="C42">
        <f t="shared" si="5"/>
        <v>30</v>
      </c>
      <c r="D42">
        <v>30</v>
      </c>
      <c r="E42" s="55"/>
      <c r="F42" s="11"/>
      <c r="G42" s="13" t="str">
        <f>IFERROR(IF(H42&lt;&gt;"",COUNTA($H$13:H42),""),"")</f>
        <v/>
      </c>
      <c r="H42" s="11" t="str">
        <f t="shared" si="0"/>
        <v/>
      </c>
      <c r="I42" s="11"/>
      <c r="J42" s="11"/>
      <c r="K42" s="11"/>
      <c r="L42" s="11"/>
      <c r="M42" s="11" t="s">
        <v>55</v>
      </c>
      <c r="N42" s="11" t="str">
        <f t="shared" si="1"/>
        <v/>
      </c>
      <c r="O42" s="11" t="str">
        <f t="shared" si="6"/>
        <v/>
      </c>
      <c r="P42" s="11" t="s">
        <v>529</v>
      </c>
      <c r="Q42" s="62" t="str">
        <f t="shared" si="2"/>
        <v/>
      </c>
      <c r="R42" s="62" t="s">
        <v>533</v>
      </c>
      <c r="S42" s="63" t="str">
        <f t="shared" si="3"/>
        <v/>
      </c>
    </row>
    <row r="43" spans="1:25" ht="16.2" hidden="1" thickTop="1" x14ac:dyDescent="0.3">
      <c r="B43">
        <v>0</v>
      </c>
      <c r="E43" s="55"/>
      <c r="F43" s="11"/>
      <c r="G43" s="13"/>
      <c r="H43" s="11"/>
      <c r="I43" s="11"/>
      <c r="J43" s="11"/>
      <c r="K43" s="11"/>
      <c r="L43" s="11"/>
      <c r="M43" s="11"/>
      <c r="N43" s="11"/>
      <c r="O43" s="11"/>
      <c r="P43" s="11"/>
      <c r="Q43" s="62" t="s">
        <v>54</v>
      </c>
      <c r="R43" s="62"/>
      <c r="S43" s="98">
        <f>SUM(S13:S42)</f>
        <v>1988000</v>
      </c>
      <c r="Y43" t="str">
        <f>IF(Y9=2,"2","")</f>
        <v/>
      </c>
    </row>
    <row r="44" spans="1:25" ht="15.6" x14ac:dyDescent="0.3">
      <c r="B44" s="14">
        <v>1</v>
      </c>
      <c r="E44" s="59" t="s">
        <v>53</v>
      </c>
      <c r="F44" s="52"/>
      <c r="G44" s="72"/>
      <c r="H44" s="52" t="str">
        <f>"Dana "&amp;'DATA UMUM'!D8&amp;" TA. "&amp;'DATA UMUM'!D9</f>
        <v>Dana BOSP Tahap I TA. 2024</v>
      </c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6"/>
    </row>
    <row r="45" spans="1:25" ht="15.6" x14ac:dyDescent="0.3">
      <c r="B45" s="14">
        <v>1</v>
      </c>
      <c r="E45" s="57"/>
      <c r="F45" s="12"/>
      <c r="G45" s="80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58"/>
    </row>
    <row r="46" spans="1:25" ht="25.95" customHeight="1" x14ac:dyDescent="0.3">
      <c r="B46" s="14">
        <v>1</v>
      </c>
      <c r="E46" s="64" t="s">
        <v>54</v>
      </c>
      <c r="F46" s="65"/>
      <c r="G46" s="66"/>
      <c r="H46" s="192">
        <f>S43</f>
        <v>1988000</v>
      </c>
      <c r="I46" s="193"/>
      <c r="J46" s="194"/>
      <c r="K46" s="65"/>
      <c r="L46" s="65"/>
      <c r="M46" s="65"/>
      <c r="N46" s="65"/>
      <c r="O46" s="65"/>
      <c r="P46" s="65"/>
      <c r="Q46" s="65"/>
      <c r="R46" s="65"/>
      <c r="S46" s="67"/>
      <c r="U46" s="10"/>
    </row>
    <row r="47" spans="1:25" ht="22.5" customHeight="1" x14ac:dyDescent="0.45">
      <c r="B47" s="14">
        <v>1</v>
      </c>
      <c r="E47" s="201" t="s">
        <v>58</v>
      </c>
      <c r="F47" s="202"/>
      <c r="G47" s="202"/>
      <c r="H47" s="202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3"/>
    </row>
    <row r="48" spans="1:25" ht="22.5" customHeight="1" x14ac:dyDescent="0.3">
      <c r="B48" s="14">
        <v>1</v>
      </c>
      <c r="E48" s="99"/>
      <c r="F48" s="100"/>
      <c r="G48" s="100"/>
      <c r="H48" s="100"/>
      <c r="I48" s="100"/>
      <c r="J48" s="100"/>
      <c r="K48" s="104" t="s">
        <v>590</v>
      </c>
      <c r="L48" s="189">
        <f>IFERROR(VLOOKUP(V10,DATA_KAS,3,FALSE),"")</f>
        <v>45385</v>
      </c>
      <c r="M48" s="189"/>
      <c r="N48" s="189"/>
      <c r="O48" s="100"/>
      <c r="P48" s="100"/>
      <c r="Q48" s="100"/>
      <c r="R48" s="100"/>
      <c r="S48" s="101"/>
    </row>
    <row r="49" spans="2:19" ht="15.6" x14ac:dyDescent="0.3">
      <c r="B49" s="14">
        <v>1</v>
      </c>
      <c r="E49" s="59"/>
      <c r="F49" s="195" t="s">
        <v>56</v>
      </c>
      <c r="G49" s="195"/>
      <c r="H49" s="195"/>
      <c r="I49" s="196"/>
      <c r="J49" s="59"/>
      <c r="K49" s="68"/>
      <c r="O49" s="69"/>
      <c r="P49" s="70" t="str">
        <f>IFERROR(VLOOKUP(V10,DATA_KAS,13,FALSE),"")&amp;","</f>
        <v>Kembayan,</v>
      </c>
      <c r="Q49" s="199">
        <f>L48</f>
        <v>45385</v>
      </c>
      <c r="R49" s="199"/>
      <c r="S49" s="200"/>
    </row>
    <row r="50" spans="2:19" ht="15.6" x14ac:dyDescent="0.3">
      <c r="B50" s="14">
        <v>1</v>
      </c>
      <c r="E50" s="55"/>
      <c r="F50" s="183" t="s">
        <v>57</v>
      </c>
      <c r="G50" s="183"/>
      <c r="H50" s="183"/>
      <c r="I50" s="186"/>
      <c r="J50" s="55"/>
      <c r="K50" s="183" t="s">
        <v>59</v>
      </c>
      <c r="L50" s="183"/>
      <c r="M50" s="183"/>
      <c r="N50" s="56"/>
      <c r="O50" s="71"/>
      <c r="P50" s="183" t="s">
        <v>60</v>
      </c>
      <c r="Q50" s="183"/>
      <c r="R50" s="11"/>
      <c r="S50" s="56"/>
    </row>
    <row r="51" spans="2:19" ht="15.6" x14ac:dyDescent="0.3">
      <c r="B51" s="14">
        <v>1</v>
      </c>
      <c r="E51" s="55"/>
      <c r="F51" s="11"/>
      <c r="G51" s="13"/>
      <c r="H51" s="11"/>
      <c r="I51" s="56"/>
      <c r="J51" s="55"/>
      <c r="K51" s="11"/>
      <c r="L51" s="11"/>
      <c r="M51" s="11"/>
      <c r="N51" s="56"/>
      <c r="O51" s="71"/>
      <c r="P51" s="11"/>
      <c r="Q51" s="11"/>
      <c r="R51" s="11"/>
      <c r="S51" s="56"/>
    </row>
    <row r="52" spans="2:19" ht="15.6" x14ac:dyDescent="0.3">
      <c r="B52" s="14">
        <v>1</v>
      </c>
      <c r="E52" s="55"/>
      <c r="F52" s="11"/>
      <c r="G52" s="13"/>
      <c r="H52" s="11"/>
      <c r="I52" s="56"/>
      <c r="J52" s="55"/>
      <c r="K52" s="11"/>
      <c r="L52" s="11"/>
      <c r="M52" s="11"/>
      <c r="N52" s="56"/>
      <c r="O52" s="71"/>
      <c r="P52" s="11"/>
      <c r="Q52" s="11"/>
      <c r="R52" s="11"/>
      <c r="S52" s="56"/>
    </row>
    <row r="53" spans="2:19" ht="15.6" x14ac:dyDescent="0.3">
      <c r="B53" s="14">
        <v>1</v>
      </c>
      <c r="E53" s="55"/>
      <c r="F53" s="11"/>
      <c r="G53" s="13"/>
      <c r="H53" s="11"/>
      <c r="I53" s="56"/>
      <c r="J53" s="55"/>
      <c r="K53" s="11"/>
      <c r="L53" s="11"/>
      <c r="M53" s="11"/>
      <c r="N53" s="56"/>
      <c r="O53" s="71"/>
      <c r="P53" s="11"/>
      <c r="Q53" s="11"/>
      <c r="R53" s="11"/>
      <c r="S53" s="56"/>
    </row>
    <row r="54" spans="2:19" ht="15.6" x14ac:dyDescent="0.3">
      <c r="B54" s="14">
        <v>1</v>
      </c>
      <c r="E54" s="55"/>
      <c r="F54" s="11"/>
      <c r="G54" s="13"/>
      <c r="H54" s="11"/>
      <c r="I54" s="56"/>
      <c r="J54" s="55"/>
      <c r="K54" s="11"/>
      <c r="L54" s="11"/>
      <c r="M54" s="11"/>
      <c r="N54" s="56"/>
      <c r="O54" s="71"/>
      <c r="P54" s="11"/>
      <c r="Q54" s="11"/>
      <c r="R54" s="11"/>
      <c r="S54" s="56"/>
    </row>
    <row r="55" spans="2:19" ht="15.6" x14ac:dyDescent="0.3">
      <c r="B55" s="14">
        <v>1</v>
      </c>
      <c r="E55" s="55"/>
      <c r="F55" s="187" t="str">
        <f>'DATA UMUM'!D4</f>
        <v>Shikamaru, S.Pd.</v>
      </c>
      <c r="G55" s="187"/>
      <c r="H55" s="187"/>
      <c r="I55" s="188"/>
      <c r="J55" s="55"/>
      <c r="K55" s="187" t="str">
        <f>'DATA UMUM'!D6</f>
        <v>Temari, S.Pd.</v>
      </c>
      <c r="L55" s="187"/>
      <c r="M55" s="187"/>
      <c r="N55" s="188"/>
      <c r="O55" s="71"/>
      <c r="P55" s="12"/>
      <c r="Q55" s="12"/>
      <c r="R55" s="12"/>
      <c r="S55" s="56"/>
    </row>
    <row r="56" spans="2:19" ht="15.6" x14ac:dyDescent="0.3">
      <c r="B56" s="14">
        <v>1</v>
      </c>
      <c r="E56" s="57"/>
      <c r="F56" s="184" t="str">
        <f>"NIP. "&amp;'DATA UMUM'!D5</f>
        <v>NIP. 012611</v>
      </c>
      <c r="G56" s="184"/>
      <c r="H56" s="184"/>
      <c r="I56" s="185"/>
      <c r="J56" s="57"/>
      <c r="K56" s="184" t="str">
        <f>"NIP. "&amp;'DATA UMUM'!D7</f>
        <v>NIP. 53-004</v>
      </c>
      <c r="L56" s="184"/>
      <c r="M56" s="184"/>
      <c r="N56" s="185"/>
      <c r="O56" s="57"/>
      <c r="P56" s="12"/>
      <c r="Q56" s="12"/>
      <c r="R56" s="12"/>
      <c r="S56" s="58"/>
    </row>
  </sheetData>
  <autoFilter ref="B5:B56" xr:uid="{00000000-0009-0000-0000-000004000000}">
    <filterColumn colId="0">
      <filters>
        <filter val="1"/>
      </filters>
    </filterColumn>
  </autoFilter>
  <mergeCells count="19">
    <mergeCell ref="E2:K5"/>
    <mergeCell ref="N2:S2"/>
    <mergeCell ref="N3:S3"/>
    <mergeCell ref="N4:S4"/>
    <mergeCell ref="N5:S5"/>
    <mergeCell ref="L48:N48"/>
    <mergeCell ref="H10:S10"/>
    <mergeCell ref="H46:J46"/>
    <mergeCell ref="F49:I49"/>
    <mergeCell ref="H11:S11"/>
    <mergeCell ref="Q49:S49"/>
    <mergeCell ref="E47:S47"/>
    <mergeCell ref="P50:Q50"/>
    <mergeCell ref="F56:I56"/>
    <mergeCell ref="K50:M50"/>
    <mergeCell ref="F50:I50"/>
    <mergeCell ref="F55:I55"/>
    <mergeCell ref="K55:N55"/>
    <mergeCell ref="K56:N56"/>
  </mergeCells>
  <pageMargins left="0.78740157480314965" right="0.23622047244094491" top="0.74803149606299213" bottom="0.74803149606299213" header="0.31496062992125984" footer="0.31496062992125984"/>
  <pageSetup paperSize="9" scale="65" fitToHeight="0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22</xdr:col>
                    <xdr:colOff>45720</xdr:colOff>
                    <xdr:row>8</xdr:row>
                    <xdr:rowOff>0</xdr:rowOff>
                  </from>
                  <to>
                    <xdr:col>22</xdr:col>
                    <xdr:colOff>502920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12379E"/>
    <pageSetUpPr fitToPage="1"/>
  </sheetPr>
  <dimension ref="A1:AC65"/>
  <sheetViews>
    <sheetView showGridLines="0" tabSelected="1" view="pageBreakPreview" topLeftCell="E1" zoomScale="85" zoomScaleNormal="100" zoomScaleSheetLayoutView="100" workbookViewId="0">
      <pane ySplit="1" topLeftCell="A2" activePane="bottomLeft" state="frozen"/>
      <selection activeCell="E1" sqref="E1"/>
      <selection pane="bottomLeft" activeCell="T40" sqref="T40"/>
    </sheetView>
  </sheetViews>
  <sheetFormatPr defaultRowHeight="14.4" x14ac:dyDescent="0.3"/>
  <cols>
    <col min="1" max="4" width="9.44140625" hidden="1" customWidth="1"/>
    <col min="5" max="5" width="9.44140625" customWidth="1"/>
    <col min="6" max="6" width="11.6640625" customWidth="1"/>
    <col min="7" max="7" width="4.109375" style="3" customWidth="1"/>
    <col min="10" max="10" width="8.88671875" customWidth="1"/>
    <col min="11" max="11" width="12.5546875" customWidth="1"/>
    <col min="12" max="12" width="14.33203125" customWidth="1"/>
    <col min="13" max="13" width="8.88671875" customWidth="1"/>
    <col min="14" max="14" width="9.44140625" customWidth="1"/>
    <col min="15" max="15" width="14.33203125" customWidth="1"/>
    <col min="16" max="16" width="18.33203125" customWidth="1"/>
    <col min="17" max="17" width="3.88671875" customWidth="1"/>
    <col min="18" max="18" width="11.88671875" bestFit="1" customWidth="1"/>
    <col min="19" max="19" width="13.88671875" customWidth="1"/>
    <col min="20" max="20" width="15.109375" bestFit="1" customWidth="1"/>
    <col min="21" max="21" width="9.88671875" customWidth="1"/>
    <col min="22" max="24" width="9.88671875" hidden="1" customWidth="1"/>
  </cols>
  <sheetData>
    <row r="1" spans="2:29" ht="72" customHeight="1" x14ac:dyDescent="0.3"/>
    <row r="2" spans="2:29" ht="19.5" customHeight="1" x14ac:dyDescent="0.35">
      <c r="E2" s="219" t="s">
        <v>739</v>
      </c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R2" t="s">
        <v>575</v>
      </c>
    </row>
    <row r="3" spans="2:29" ht="19.5" customHeight="1" x14ac:dyDescent="0.35">
      <c r="E3" s="219" t="s">
        <v>740</v>
      </c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R3" s="20" t="s">
        <v>561</v>
      </c>
    </row>
    <row r="4" spans="2:29" ht="19.5" customHeight="1" x14ac:dyDescent="0.35">
      <c r="E4" s="219" t="s">
        <v>738</v>
      </c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R4" t="s">
        <v>574</v>
      </c>
    </row>
    <row r="5" spans="2:29" ht="19.5" customHeight="1" x14ac:dyDescent="0.4">
      <c r="E5" s="220" t="str">
        <f>UPPER('DATA UMUM'!D2)</f>
        <v>SD NINJA 01 KONOHA</v>
      </c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</row>
    <row r="6" spans="2:29" ht="15.75" customHeight="1" x14ac:dyDescent="0.3">
      <c r="B6">
        <f>IF(E6=0,0,1)</f>
        <v>1</v>
      </c>
      <c r="E6" s="221" t="str">
        <f>'DATA UMUM'!D10&amp;". NPSN: 30102196"</f>
        <v>Desa Konohagakure, Negara Api. 666. NPSN: 30102196</v>
      </c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</row>
    <row r="7" spans="2:29" ht="15" thickBot="1" x14ac:dyDescent="0.35">
      <c r="B7">
        <f>IF(E7="",0,1)</f>
        <v>1</v>
      </c>
      <c r="E7" s="222" t="str">
        <f>'DATA UMUM'!D11</f>
        <v>sdninja@konohagaku.re</v>
      </c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</row>
    <row r="8" spans="2:29" ht="24" customHeight="1" thickTop="1" thickBot="1" x14ac:dyDescent="0.35">
      <c r="B8">
        <f>IF(E8="",0,1)</f>
        <v>1</v>
      </c>
      <c r="E8" s="215" t="s">
        <v>621</v>
      </c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</row>
    <row r="9" spans="2:29" ht="19.5" customHeight="1" thickTop="1" x14ac:dyDescent="0.3">
      <c r="B9">
        <v>1</v>
      </c>
      <c r="E9" s="216" t="s">
        <v>694</v>
      </c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R9" s="25" t="s">
        <v>520</v>
      </c>
      <c r="S9" s="26" t="s">
        <v>3</v>
      </c>
      <c r="V9">
        <f>IFERROR(VLOOKUP(S10,DATA_KAS,14,FALSE),"")</f>
        <v>0</v>
      </c>
    </row>
    <row r="10" spans="2:29" ht="20.25" customHeight="1" thickBot="1" x14ac:dyDescent="0.35">
      <c r="B10">
        <v>1</v>
      </c>
      <c r="E10" s="138"/>
      <c r="F10" s="11"/>
      <c r="G10" s="139"/>
      <c r="H10" s="143"/>
      <c r="I10" s="143"/>
      <c r="J10" s="143"/>
      <c r="K10" s="143"/>
      <c r="L10" s="143"/>
      <c r="M10" s="143"/>
      <c r="N10" s="143"/>
      <c r="O10" s="143"/>
      <c r="P10" s="143"/>
      <c r="R10" s="96">
        <v>5</v>
      </c>
      <c r="S10" s="27" t="str">
        <f>"BPU"&amp;TEXT(R10,"00")</f>
        <v>BPU05</v>
      </c>
    </row>
    <row r="11" spans="2:29" ht="20.25" customHeight="1" thickTop="1" x14ac:dyDescent="0.3">
      <c r="B11">
        <v>1</v>
      </c>
      <c r="E11" s="218" t="s">
        <v>610</v>
      </c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</row>
    <row r="12" spans="2:29" ht="20.25" customHeight="1" x14ac:dyDescent="0.3">
      <c r="B12">
        <v>1</v>
      </c>
      <c r="E12" s="139" t="s">
        <v>611</v>
      </c>
      <c r="F12" s="139" t="s">
        <v>55</v>
      </c>
      <c r="G12" s="139" t="str">
        <f>'DATA UMUM'!D6</f>
        <v>Temari, S.Pd.</v>
      </c>
      <c r="H12" s="137"/>
      <c r="I12" s="137"/>
      <c r="J12" s="137"/>
      <c r="K12" s="137"/>
      <c r="L12" s="137"/>
      <c r="M12" s="137"/>
      <c r="N12" s="137"/>
      <c r="O12" s="137"/>
      <c r="P12" s="137"/>
    </row>
    <row r="13" spans="2:29" ht="20.25" customHeight="1" x14ac:dyDescent="0.3">
      <c r="B13">
        <v>1</v>
      </c>
      <c r="E13" s="139" t="s">
        <v>605</v>
      </c>
      <c r="F13" s="139" t="s">
        <v>55</v>
      </c>
      <c r="G13" s="139" t="str">
        <f>'DATA UMUM'!D7</f>
        <v>53-004</v>
      </c>
      <c r="H13" s="137"/>
      <c r="I13" s="137"/>
      <c r="J13" s="137"/>
      <c r="K13" s="137"/>
      <c r="L13" s="137"/>
      <c r="M13" s="137"/>
      <c r="N13" s="137"/>
      <c r="O13" s="137"/>
      <c r="P13" s="137"/>
    </row>
    <row r="14" spans="2:29" ht="20.25" customHeight="1" x14ac:dyDescent="0.3">
      <c r="B14">
        <v>1</v>
      </c>
      <c r="E14" s="139" t="s">
        <v>612</v>
      </c>
      <c r="F14" s="139" t="s">
        <v>55</v>
      </c>
      <c r="G14" s="139" t="s">
        <v>613</v>
      </c>
      <c r="H14" s="137"/>
      <c r="I14" s="137"/>
      <c r="J14" s="137"/>
      <c r="K14" s="137"/>
      <c r="L14" s="137"/>
      <c r="M14" s="137"/>
      <c r="N14" s="137"/>
      <c r="O14" s="137"/>
      <c r="P14" s="137"/>
      <c r="AC14">
        <f>240/2</f>
        <v>120</v>
      </c>
    </row>
    <row r="15" spans="2:29" ht="20.25" customHeight="1" x14ac:dyDescent="0.3">
      <c r="B15">
        <v>1</v>
      </c>
      <c r="E15" s="139" t="s">
        <v>614</v>
      </c>
      <c r="F15" s="139" t="s">
        <v>55</v>
      </c>
      <c r="G15" s="139" t="str">
        <f>'DATA UMUM'!D2</f>
        <v>SD Ninja 01 Konoha</v>
      </c>
      <c r="H15" s="137"/>
      <c r="I15" s="137"/>
      <c r="J15" s="137"/>
      <c r="K15" s="137"/>
      <c r="L15" s="137"/>
      <c r="M15" s="137"/>
      <c r="N15" s="137"/>
      <c r="O15" s="137"/>
      <c r="P15" s="137"/>
    </row>
    <row r="16" spans="2:29" ht="15.6" x14ac:dyDescent="0.3">
      <c r="B16">
        <v>1</v>
      </c>
      <c r="E16" s="217" t="str">
        <f>"untuk melakukan proses pengadaan barang dan jasa pada "&amp;IFERROR(VLOOKUP(A20,DATA_ITEM,14,FALSE),"")&amp;" dengan rincian sebagai berikut"</f>
        <v>untuk melakukan proses pengadaan barang dan jasa pada Toko Senjata Tenten dengan rincian sebagai berikut</v>
      </c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</row>
    <row r="17" spans="1:20" ht="15.6" x14ac:dyDescent="0.3">
      <c r="B17">
        <v>1</v>
      </c>
      <c r="E17" s="13" t="s">
        <v>615</v>
      </c>
      <c r="F17" s="13"/>
      <c r="G17" s="13" t="s">
        <v>55</v>
      </c>
      <c r="H17" s="13" t="str">
        <f>IFERROR(VLOOKUP(S10,DATA_KAS,7,FALSE),"")</f>
        <v>Pembelian ATK</v>
      </c>
      <c r="I17" s="13"/>
      <c r="J17" s="13"/>
      <c r="K17" s="13"/>
      <c r="L17" s="13"/>
      <c r="M17" s="13"/>
      <c r="N17" s="13"/>
      <c r="O17" s="13"/>
      <c r="P17" s="13"/>
    </row>
    <row r="18" spans="1:20" ht="15.6" x14ac:dyDescent="0.3">
      <c r="B18">
        <v>1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20" ht="15.6" x14ac:dyDescent="0.3">
      <c r="B19">
        <v>1</v>
      </c>
      <c r="E19" s="13"/>
      <c r="F19" s="13"/>
      <c r="G19" s="145" t="s">
        <v>567</v>
      </c>
      <c r="H19" s="149" t="s">
        <v>616</v>
      </c>
      <c r="I19" s="150"/>
      <c r="J19" s="150"/>
      <c r="K19" s="150"/>
      <c r="L19" s="151"/>
      <c r="M19" s="145" t="s">
        <v>619</v>
      </c>
      <c r="N19" s="145" t="s">
        <v>617</v>
      </c>
      <c r="O19" s="145" t="s">
        <v>618</v>
      </c>
      <c r="P19" s="145" t="s">
        <v>54</v>
      </c>
    </row>
    <row r="20" spans="1:20" ht="16.2" customHeight="1" x14ac:dyDescent="0.3">
      <c r="A20" t="str">
        <f t="shared" ref="A20:A49" si="0">$S$10&amp;" "&amp;D20</f>
        <v>BPU05 1</v>
      </c>
      <c r="B20" s="14">
        <f t="shared" ref="B20:B49" si="1">IF(N20=0,"0",IF(G20:G20&lt;&gt;"",1,0))</f>
        <v>1</v>
      </c>
      <c r="C20">
        <f>D20</f>
        <v>1</v>
      </c>
      <c r="D20">
        <v>1</v>
      </c>
      <c r="E20" s="11"/>
      <c r="F20" s="11"/>
      <c r="G20" s="145">
        <f>IFERROR(IF(O20&lt;&gt;"",COUNTA($O20:O$20),""),"")</f>
        <v>1</v>
      </c>
      <c r="H20" s="152" t="str">
        <f>IFERROR(VLOOKUP(A20,DATA_ITEM,5,FALSE),"")</f>
        <v>Penghapus Whiteboard besar GM</v>
      </c>
      <c r="I20" s="65"/>
      <c r="J20" s="65"/>
      <c r="K20" s="153"/>
      <c r="L20" s="154"/>
      <c r="M20" s="146">
        <f t="shared" ref="M20:M49" si="2">IFERROR(VLOOKUP(A20,DATA_ITEM,8,FALSE),"")</f>
        <v>12</v>
      </c>
      <c r="N20" s="146" t="str">
        <f>IFERROR(VLOOKUP(A20,DATA_ITEM,9,FALSE),"")</f>
        <v>pcs</v>
      </c>
      <c r="O20" s="147">
        <f t="shared" ref="O20:O49" si="3">IFERROR(VLOOKUP(A20,DATA_ITEM,10,FALSE),"")</f>
        <v>16500</v>
      </c>
      <c r="P20" s="147">
        <f t="shared" ref="P20:P49" si="4">IFERROR(VLOOKUP(A20,DATA_ITEM,11,FALSE),"")</f>
        <v>198000</v>
      </c>
      <c r="T20" s="144"/>
    </row>
    <row r="21" spans="1:20" ht="15.75" customHeight="1" x14ac:dyDescent="0.3">
      <c r="A21" t="str">
        <f t="shared" si="0"/>
        <v>BPU05 2</v>
      </c>
      <c r="B21" s="14">
        <f t="shared" si="1"/>
        <v>1</v>
      </c>
      <c r="C21">
        <f t="shared" ref="C21:C49" si="5">D21</f>
        <v>2</v>
      </c>
      <c r="D21">
        <v>2</v>
      </c>
      <c r="E21" s="11"/>
      <c r="F21" s="11"/>
      <c r="G21" s="145">
        <f>IFERROR(IF(H21&lt;&gt;"",COUNTA($H$20:H21),""),"")</f>
        <v>2</v>
      </c>
      <c r="H21" s="152" t="str">
        <f t="shared" ref="H21:H49" si="6">IFERROR(VLOOKUP(A21,DATA_ITEM,5,FALSE),"")</f>
        <v>Kertas HVS Folio</v>
      </c>
      <c r="I21" s="65"/>
      <c r="J21" s="65"/>
      <c r="K21" s="65"/>
      <c r="L21" s="67"/>
      <c r="M21" s="146">
        <f t="shared" si="2"/>
        <v>10</v>
      </c>
      <c r="N21" s="146" t="str">
        <f>IFERROR(VLOOKUP(A21,DATA_ITEM,9,FALSE),"")</f>
        <v>rim</v>
      </c>
      <c r="O21" s="147">
        <f t="shared" si="3"/>
        <v>90000</v>
      </c>
      <c r="P21" s="147">
        <f t="shared" si="4"/>
        <v>900000</v>
      </c>
    </row>
    <row r="22" spans="1:20" ht="15.75" customHeight="1" x14ac:dyDescent="0.3">
      <c r="A22" t="str">
        <f t="shared" si="0"/>
        <v>BPU05 3</v>
      </c>
      <c r="B22" s="14">
        <f t="shared" si="1"/>
        <v>1</v>
      </c>
      <c r="C22">
        <f t="shared" si="5"/>
        <v>3</v>
      </c>
      <c r="D22">
        <v>3</v>
      </c>
      <c r="E22" s="11"/>
      <c r="F22" s="11"/>
      <c r="G22" s="145">
        <f>IFERROR(IF(H22&lt;&gt;"",COUNTA($H$20:H22),""),"")</f>
        <v>3</v>
      </c>
      <c r="H22" s="152" t="str">
        <f t="shared" si="6"/>
        <v>Catridge Printer IP 2770 810 Hitam- IP 2770 810 Hitam</v>
      </c>
      <c r="I22" s="65"/>
      <c r="J22" s="65"/>
      <c r="K22" s="65"/>
      <c r="L22" s="67"/>
      <c r="M22" s="146">
        <f t="shared" si="2"/>
        <v>1</v>
      </c>
      <c r="N22" s="146" t="str">
        <f t="shared" ref="N22:N49" si="7">IFERROR(VLOOKUP(A22,DATA_ITEM,9,FALSE),"")</f>
        <v>unit</v>
      </c>
      <c r="O22" s="147">
        <f t="shared" si="3"/>
        <v>300000</v>
      </c>
      <c r="P22" s="147">
        <f t="shared" si="4"/>
        <v>300000</v>
      </c>
    </row>
    <row r="23" spans="1:20" ht="15.75" customHeight="1" x14ac:dyDescent="0.3">
      <c r="A23" t="str">
        <f t="shared" si="0"/>
        <v>BPU05 4</v>
      </c>
      <c r="B23" s="14">
        <f t="shared" si="1"/>
        <v>1</v>
      </c>
      <c r="C23">
        <f t="shared" si="5"/>
        <v>4</v>
      </c>
      <c r="D23">
        <v>4</v>
      </c>
      <c r="E23" s="11"/>
      <c r="F23" s="11"/>
      <c r="G23" s="145">
        <f>IFERROR(IF(H23&lt;&gt;"",COUNTA($H$20:H23),""),"")</f>
        <v>4</v>
      </c>
      <c r="H23" s="152" t="str">
        <f t="shared" si="6"/>
        <v>Spidol Whiteboard Warna Hitam BG 12 Snowman</v>
      </c>
      <c r="I23" s="65"/>
      <c r="J23" s="65"/>
      <c r="K23" s="65"/>
      <c r="L23" s="67"/>
      <c r="M23" s="146">
        <f t="shared" si="2"/>
        <v>24</v>
      </c>
      <c r="N23" s="146" t="str">
        <f t="shared" si="7"/>
        <v>buah</v>
      </c>
      <c r="O23" s="147">
        <f t="shared" si="3"/>
        <v>10000</v>
      </c>
      <c r="P23" s="147">
        <f t="shared" si="4"/>
        <v>240000</v>
      </c>
    </row>
    <row r="24" spans="1:20" ht="15.75" customHeight="1" x14ac:dyDescent="0.3">
      <c r="A24" t="str">
        <f t="shared" si="0"/>
        <v>BPU05 5</v>
      </c>
      <c r="B24" s="14">
        <f t="shared" si="1"/>
        <v>1</v>
      </c>
      <c r="C24">
        <f t="shared" si="5"/>
        <v>5</v>
      </c>
      <c r="D24">
        <v>5</v>
      </c>
      <c r="E24" s="11"/>
      <c r="F24" s="11"/>
      <c r="G24" s="145">
        <f>IFERROR(IF(H24&lt;&gt;"",COUNTA($H$20:H24),""),"")</f>
        <v>5</v>
      </c>
      <c r="H24" s="152" t="str">
        <f t="shared" si="6"/>
        <v>Catridge Printer IP 2770 811 Warna- IP 2770 811 Warna</v>
      </c>
      <c r="I24" s="65"/>
      <c r="J24" s="65"/>
      <c r="K24" s="65"/>
      <c r="L24" s="67"/>
      <c r="M24" s="146">
        <f t="shared" si="2"/>
        <v>1</v>
      </c>
      <c r="N24" s="146" t="str">
        <f t="shared" si="7"/>
        <v>unit</v>
      </c>
      <c r="O24" s="147">
        <f t="shared" si="3"/>
        <v>350000</v>
      </c>
      <c r="P24" s="147">
        <f t="shared" si="4"/>
        <v>350000</v>
      </c>
    </row>
    <row r="25" spans="1:20" ht="15.75" customHeight="1" x14ac:dyDescent="0.3">
      <c r="A25" t="str">
        <f t="shared" si="0"/>
        <v>BPU05 6</v>
      </c>
      <c r="B25" s="14">
        <f t="shared" si="1"/>
        <v>0</v>
      </c>
      <c r="C25">
        <f t="shared" si="5"/>
        <v>6</v>
      </c>
      <c r="D25">
        <v>6</v>
      </c>
      <c r="E25" s="11"/>
      <c r="F25" s="11"/>
      <c r="G25" s="145" t="str">
        <f>IFERROR(IF(H25&lt;&gt;"",COUNTA($H$20:H25),""),"")</f>
        <v/>
      </c>
      <c r="H25" s="152" t="str">
        <f t="shared" si="6"/>
        <v/>
      </c>
      <c r="I25" s="65"/>
      <c r="J25" s="65"/>
      <c r="K25" s="65"/>
      <c r="L25" s="67"/>
      <c r="M25" s="146" t="str">
        <f t="shared" si="2"/>
        <v/>
      </c>
      <c r="N25" s="146" t="str">
        <f t="shared" si="7"/>
        <v/>
      </c>
      <c r="O25" s="147" t="str">
        <f t="shared" si="3"/>
        <v/>
      </c>
      <c r="P25" s="147" t="str">
        <f t="shared" si="4"/>
        <v/>
      </c>
    </row>
    <row r="26" spans="1:20" ht="15.75" customHeight="1" x14ac:dyDescent="0.3">
      <c r="A26" t="str">
        <f t="shared" si="0"/>
        <v>BPU05 7</v>
      </c>
      <c r="B26" s="14">
        <f t="shared" si="1"/>
        <v>0</v>
      </c>
      <c r="C26">
        <f t="shared" si="5"/>
        <v>7</v>
      </c>
      <c r="D26">
        <v>7</v>
      </c>
      <c r="E26" s="11"/>
      <c r="F26" s="11"/>
      <c r="G26" s="145" t="str">
        <f>IFERROR(IF(H26&lt;&gt;"",COUNTA($H$20:H26),""),"")</f>
        <v/>
      </c>
      <c r="H26" s="152" t="str">
        <f t="shared" si="6"/>
        <v/>
      </c>
      <c r="I26" s="65"/>
      <c r="J26" s="65"/>
      <c r="K26" s="65"/>
      <c r="L26" s="67"/>
      <c r="M26" s="146" t="str">
        <f t="shared" si="2"/>
        <v/>
      </c>
      <c r="N26" s="146" t="str">
        <f t="shared" si="7"/>
        <v/>
      </c>
      <c r="O26" s="147" t="str">
        <f t="shared" si="3"/>
        <v/>
      </c>
      <c r="P26" s="147" t="str">
        <f t="shared" si="4"/>
        <v/>
      </c>
    </row>
    <row r="27" spans="1:20" ht="15.75" customHeight="1" x14ac:dyDescent="0.3">
      <c r="A27" t="str">
        <f t="shared" si="0"/>
        <v>BPU05 8</v>
      </c>
      <c r="B27" s="14">
        <f t="shared" si="1"/>
        <v>0</v>
      </c>
      <c r="C27">
        <f t="shared" si="5"/>
        <v>8</v>
      </c>
      <c r="D27">
        <v>8</v>
      </c>
      <c r="E27" s="11"/>
      <c r="F27" s="11"/>
      <c r="G27" s="145" t="str">
        <f>IFERROR(IF(H27&lt;&gt;"",COUNTA($H$20:H27),""),"")</f>
        <v/>
      </c>
      <c r="H27" s="152" t="str">
        <f t="shared" si="6"/>
        <v/>
      </c>
      <c r="I27" s="65"/>
      <c r="J27" s="65"/>
      <c r="K27" s="65"/>
      <c r="L27" s="67"/>
      <c r="M27" s="146" t="str">
        <f t="shared" si="2"/>
        <v/>
      </c>
      <c r="N27" s="146" t="str">
        <f t="shared" si="7"/>
        <v/>
      </c>
      <c r="O27" s="147" t="str">
        <f t="shared" si="3"/>
        <v/>
      </c>
      <c r="P27" s="147" t="str">
        <f t="shared" si="4"/>
        <v/>
      </c>
    </row>
    <row r="28" spans="1:20" ht="15.75" customHeight="1" x14ac:dyDescent="0.3">
      <c r="A28" t="str">
        <f t="shared" si="0"/>
        <v>BPU05 9</v>
      </c>
      <c r="B28" s="14">
        <f t="shared" si="1"/>
        <v>0</v>
      </c>
      <c r="C28">
        <f t="shared" si="5"/>
        <v>9</v>
      </c>
      <c r="D28">
        <v>9</v>
      </c>
      <c r="E28" s="11"/>
      <c r="F28" s="11"/>
      <c r="G28" s="145" t="str">
        <f>IFERROR(IF(H28&lt;&gt;"",COUNTA($H$20:H28),""),"")</f>
        <v/>
      </c>
      <c r="H28" s="152" t="str">
        <f t="shared" si="6"/>
        <v/>
      </c>
      <c r="I28" s="65"/>
      <c r="J28" s="65"/>
      <c r="K28" s="65"/>
      <c r="L28" s="67"/>
      <c r="M28" s="146" t="str">
        <f t="shared" si="2"/>
        <v/>
      </c>
      <c r="N28" s="146" t="str">
        <f t="shared" si="7"/>
        <v/>
      </c>
      <c r="O28" s="147" t="str">
        <f t="shared" si="3"/>
        <v/>
      </c>
      <c r="P28" s="147" t="str">
        <f t="shared" si="4"/>
        <v/>
      </c>
    </row>
    <row r="29" spans="1:20" ht="15.75" customHeight="1" x14ac:dyDescent="0.3">
      <c r="A29" t="str">
        <f t="shared" si="0"/>
        <v>BPU05 10</v>
      </c>
      <c r="B29" s="14">
        <f t="shared" si="1"/>
        <v>0</v>
      </c>
      <c r="C29">
        <f t="shared" si="5"/>
        <v>10</v>
      </c>
      <c r="D29">
        <v>10</v>
      </c>
      <c r="E29" s="11"/>
      <c r="F29" s="11"/>
      <c r="G29" s="145" t="str">
        <f>IFERROR(IF(H29&lt;&gt;"",COUNTA($H$20:H29),""),"")</f>
        <v/>
      </c>
      <c r="H29" s="152" t="str">
        <f t="shared" si="6"/>
        <v/>
      </c>
      <c r="I29" s="65"/>
      <c r="J29" s="65"/>
      <c r="K29" s="65"/>
      <c r="L29" s="67"/>
      <c r="M29" s="146" t="str">
        <f t="shared" si="2"/>
        <v/>
      </c>
      <c r="N29" s="146" t="str">
        <f t="shared" si="7"/>
        <v/>
      </c>
      <c r="O29" s="147" t="str">
        <f t="shared" si="3"/>
        <v/>
      </c>
      <c r="P29" s="147" t="str">
        <f t="shared" si="4"/>
        <v/>
      </c>
    </row>
    <row r="30" spans="1:20" ht="15.75" customHeight="1" x14ac:dyDescent="0.3">
      <c r="A30" t="str">
        <f t="shared" si="0"/>
        <v>BPU05 11</v>
      </c>
      <c r="B30" s="14">
        <f t="shared" si="1"/>
        <v>0</v>
      </c>
      <c r="C30">
        <f t="shared" si="5"/>
        <v>11</v>
      </c>
      <c r="D30">
        <v>11</v>
      </c>
      <c r="E30" s="11"/>
      <c r="F30" s="11"/>
      <c r="G30" s="145" t="str">
        <f>IFERROR(IF(H30&lt;&gt;"",COUNTA($H$20:H30),""),"")</f>
        <v/>
      </c>
      <c r="H30" s="152" t="str">
        <f t="shared" si="6"/>
        <v/>
      </c>
      <c r="I30" s="65"/>
      <c r="J30" s="65"/>
      <c r="K30" s="65"/>
      <c r="L30" s="67"/>
      <c r="M30" s="146" t="str">
        <f t="shared" si="2"/>
        <v/>
      </c>
      <c r="N30" s="146" t="str">
        <f t="shared" si="7"/>
        <v/>
      </c>
      <c r="O30" s="147" t="str">
        <f t="shared" si="3"/>
        <v/>
      </c>
      <c r="P30" s="147" t="str">
        <f t="shared" si="4"/>
        <v/>
      </c>
    </row>
    <row r="31" spans="1:20" ht="15.75" customHeight="1" x14ac:dyDescent="0.3">
      <c r="A31" t="str">
        <f t="shared" si="0"/>
        <v>BPU05 12</v>
      </c>
      <c r="B31" s="14">
        <f t="shared" si="1"/>
        <v>0</v>
      </c>
      <c r="C31">
        <f t="shared" si="5"/>
        <v>12</v>
      </c>
      <c r="D31">
        <v>12</v>
      </c>
      <c r="E31" s="11"/>
      <c r="F31" s="11"/>
      <c r="G31" s="145" t="str">
        <f>IFERROR(IF(H31&lt;&gt;"",COUNTA($H$20:H31),""),"")</f>
        <v/>
      </c>
      <c r="H31" s="152" t="str">
        <f t="shared" si="6"/>
        <v/>
      </c>
      <c r="I31" s="65"/>
      <c r="J31" s="65"/>
      <c r="K31" s="65"/>
      <c r="L31" s="67"/>
      <c r="M31" s="146" t="str">
        <f t="shared" si="2"/>
        <v/>
      </c>
      <c r="N31" s="146" t="str">
        <f t="shared" si="7"/>
        <v/>
      </c>
      <c r="O31" s="147" t="str">
        <f t="shared" si="3"/>
        <v/>
      </c>
      <c r="P31" s="147" t="str">
        <f t="shared" si="4"/>
        <v/>
      </c>
    </row>
    <row r="32" spans="1:20" ht="15.75" customHeight="1" x14ac:dyDescent="0.3">
      <c r="A32" t="str">
        <f t="shared" si="0"/>
        <v>BPU05 13</v>
      </c>
      <c r="B32" s="14">
        <f t="shared" si="1"/>
        <v>0</v>
      </c>
      <c r="C32">
        <f t="shared" si="5"/>
        <v>13</v>
      </c>
      <c r="D32">
        <v>13</v>
      </c>
      <c r="E32" s="11"/>
      <c r="F32" s="11"/>
      <c r="G32" s="145" t="str">
        <f>IFERROR(IF(H32&lt;&gt;"",COUNTA($H$20:H32),""),"")</f>
        <v/>
      </c>
      <c r="H32" s="152" t="str">
        <f t="shared" si="6"/>
        <v/>
      </c>
      <c r="I32" s="65"/>
      <c r="J32" s="65"/>
      <c r="K32" s="65"/>
      <c r="L32" s="67"/>
      <c r="M32" s="146" t="str">
        <f t="shared" si="2"/>
        <v/>
      </c>
      <c r="N32" s="146" t="str">
        <f t="shared" si="7"/>
        <v/>
      </c>
      <c r="O32" s="147" t="str">
        <f t="shared" si="3"/>
        <v/>
      </c>
      <c r="P32" s="147" t="str">
        <f t="shared" si="4"/>
        <v/>
      </c>
    </row>
    <row r="33" spans="1:16" ht="15.6" x14ac:dyDescent="0.3">
      <c r="A33" t="str">
        <f t="shared" si="0"/>
        <v>BPU05 14</v>
      </c>
      <c r="B33" s="14">
        <f t="shared" si="1"/>
        <v>0</v>
      </c>
      <c r="C33">
        <f t="shared" si="5"/>
        <v>14</v>
      </c>
      <c r="D33">
        <v>14</v>
      </c>
      <c r="E33" s="11"/>
      <c r="F33" s="11"/>
      <c r="G33" s="145" t="str">
        <f>IFERROR(IF(H33&lt;&gt;"",COUNTA($H$20:H33),""),"")</f>
        <v/>
      </c>
      <c r="H33" s="152" t="str">
        <f t="shared" si="6"/>
        <v/>
      </c>
      <c r="I33" s="65"/>
      <c r="J33" s="65"/>
      <c r="K33" s="65"/>
      <c r="L33" s="67"/>
      <c r="M33" s="146" t="str">
        <f t="shared" si="2"/>
        <v/>
      </c>
      <c r="N33" s="146" t="str">
        <f t="shared" si="7"/>
        <v/>
      </c>
      <c r="O33" s="147" t="str">
        <f t="shared" si="3"/>
        <v/>
      </c>
      <c r="P33" s="147" t="str">
        <f t="shared" si="4"/>
        <v/>
      </c>
    </row>
    <row r="34" spans="1:16" ht="15.6" x14ac:dyDescent="0.3">
      <c r="A34" t="str">
        <f t="shared" si="0"/>
        <v>BPU05 15</v>
      </c>
      <c r="B34" s="14">
        <f t="shared" si="1"/>
        <v>0</v>
      </c>
      <c r="C34">
        <f t="shared" si="5"/>
        <v>15</v>
      </c>
      <c r="D34">
        <v>15</v>
      </c>
      <c r="E34" s="11"/>
      <c r="F34" s="11"/>
      <c r="G34" s="145" t="str">
        <f>IFERROR(IF(H34&lt;&gt;"",COUNTA($H$20:H34),""),"")</f>
        <v/>
      </c>
      <c r="H34" s="152" t="str">
        <f t="shared" si="6"/>
        <v/>
      </c>
      <c r="I34" s="65"/>
      <c r="J34" s="65"/>
      <c r="K34" s="65"/>
      <c r="L34" s="67"/>
      <c r="M34" s="146" t="str">
        <f t="shared" si="2"/>
        <v/>
      </c>
      <c r="N34" s="146" t="str">
        <f t="shared" si="7"/>
        <v/>
      </c>
      <c r="O34" s="147" t="str">
        <f t="shared" si="3"/>
        <v/>
      </c>
      <c r="P34" s="147" t="str">
        <f t="shared" si="4"/>
        <v/>
      </c>
    </row>
    <row r="35" spans="1:16" ht="15.6" x14ac:dyDescent="0.3">
      <c r="A35" t="str">
        <f t="shared" si="0"/>
        <v>BPU05 16</v>
      </c>
      <c r="B35" s="14">
        <f t="shared" si="1"/>
        <v>0</v>
      </c>
      <c r="C35">
        <f t="shared" si="5"/>
        <v>16</v>
      </c>
      <c r="D35">
        <v>16</v>
      </c>
      <c r="E35" s="11"/>
      <c r="F35" s="11"/>
      <c r="G35" s="145" t="str">
        <f>IFERROR(IF(H35&lt;&gt;"",COUNTA($H$20:H35),""),"")</f>
        <v/>
      </c>
      <c r="H35" s="152" t="str">
        <f t="shared" si="6"/>
        <v/>
      </c>
      <c r="I35" s="65"/>
      <c r="J35" s="65"/>
      <c r="K35" s="65"/>
      <c r="L35" s="67"/>
      <c r="M35" s="146" t="str">
        <f t="shared" si="2"/>
        <v/>
      </c>
      <c r="N35" s="146" t="str">
        <f t="shared" si="7"/>
        <v/>
      </c>
      <c r="O35" s="147" t="str">
        <f t="shared" si="3"/>
        <v/>
      </c>
      <c r="P35" s="147" t="str">
        <f t="shared" si="4"/>
        <v/>
      </c>
    </row>
    <row r="36" spans="1:16" ht="15.6" x14ac:dyDescent="0.3">
      <c r="A36" t="str">
        <f t="shared" si="0"/>
        <v>BPU05 17</v>
      </c>
      <c r="B36" s="14">
        <f t="shared" si="1"/>
        <v>0</v>
      </c>
      <c r="C36">
        <f t="shared" si="5"/>
        <v>17</v>
      </c>
      <c r="D36">
        <v>17</v>
      </c>
      <c r="E36" s="11"/>
      <c r="F36" s="11"/>
      <c r="G36" s="145" t="str">
        <f>IFERROR(IF(H36&lt;&gt;"",COUNTA($H$20:H36),""),"")</f>
        <v/>
      </c>
      <c r="H36" s="152" t="str">
        <f t="shared" si="6"/>
        <v/>
      </c>
      <c r="I36" s="65"/>
      <c r="J36" s="65"/>
      <c r="K36" s="65"/>
      <c r="L36" s="67"/>
      <c r="M36" s="146" t="str">
        <f t="shared" si="2"/>
        <v/>
      </c>
      <c r="N36" s="146" t="str">
        <f t="shared" si="7"/>
        <v/>
      </c>
      <c r="O36" s="147" t="str">
        <f t="shared" si="3"/>
        <v/>
      </c>
      <c r="P36" s="147" t="str">
        <f t="shared" si="4"/>
        <v/>
      </c>
    </row>
    <row r="37" spans="1:16" ht="15.6" x14ac:dyDescent="0.3">
      <c r="A37" t="str">
        <f t="shared" si="0"/>
        <v>BPU05 18</v>
      </c>
      <c r="B37" s="14">
        <f t="shared" si="1"/>
        <v>0</v>
      </c>
      <c r="C37">
        <f t="shared" si="5"/>
        <v>18</v>
      </c>
      <c r="D37">
        <v>18</v>
      </c>
      <c r="E37" s="11"/>
      <c r="F37" s="11"/>
      <c r="G37" s="145" t="str">
        <f>IFERROR(IF(H37&lt;&gt;"",COUNTA($H$20:H37),""),"")</f>
        <v/>
      </c>
      <c r="H37" s="152" t="str">
        <f t="shared" si="6"/>
        <v/>
      </c>
      <c r="I37" s="65"/>
      <c r="J37" s="65"/>
      <c r="K37" s="65"/>
      <c r="L37" s="67"/>
      <c r="M37" s="146" t="str">
        <f t="shared" si="2"/>
        <v/>
      </c>
      <c r="N37" s="146" t="str">
        <f t="shared" si="7"/>
        <v/>
      </c>
      <c r="O37" s="147" t="str">
        <f t="shared" si="3"/>
        <v/>
      </c>
      <c r="P37" s="147" t="str">
        <f t="shared" si="4"/>
        <v/>
      </c>
    </row>
    <row r="38" spans="1:16" ht="15.6" x14ac:dyDescent="0.3">
      <c r="A38" t="str">
        <f t="shared" si="0"/>
        <v>BPU05 19</v>
      </c>
      <c r="B38" s="14">
        <f t="shared" si="1"/>
        <v>0</v>
      </c>
      <c r="C38">
        <f t="shared" si="5"/>
        <v>19</v>
      </c>
      <c r="D38">
        <v>19</v>
      </c>
      <c r="E38" s="11"/>
      <c r="F38" s="11"/>
      <c r="G38" s="145" t="str">
        <f>IFERROR(IF(H38&lt;&gt;"",COUNTA($H$20:H38),""),"")</f>
        <v/>
      </c>
      <c r="H38" s="152" t="str">
        <f t="shared" si="6"/>
        <v/>
      </c>
      <c r="I38" s="65"/>
      <c r="J38" s="65"/>
      <c r="K38" s="65"/>
      <c r="L38" s="67"/>
      <c r="M38" s="146" t="str">
        <f t="shared" si="2"/>
        <v/>
      </c>
      <c r="N38" s="146" t="str">
        <f t="shared" si="7"/>
        <v/>
      </c>
      <c r="O38" s="147" t="str">
        <f t="shared" si="3"/>
        <v/>
      </c>
      <c r="P38" s="147" t="str">
        <f t="shared" si="4"/>
        <v/>
      </c>
    </row>
    <row r="39" spans="1:16" ht="15.6" x14ac:dyDescent="0.3">
      <c r="A39" t="str">
        <f t="shared" si="0"/>
        <v>BPU05 20</v>
      </c>
      <c r="B39" s="14">
        <f t="shared" si="1"/>
        <v>0</v>
      </c>
      <c r="C39">
        <f t="shared" si="5"/>
        <v>20</v>
      </c>
      <c r="D39">
        <v>20</v>
      </c>
      <c r="E39" s="11"/>
      <c r="F39" s="11"/>
      <c r="G39" s="145" t="str">
        <f>IFERROR(IF(H39&lt;&gt;"",COUNTA($H$20:H39),""),"")</f>
        <v/>
      </c>
      <c r="H39" s="152" t="str">
        <f t="shared" si="6"/>
        <v/>
      </c>
      <c r="I39" s="65"/>
      <c r="J39" s="65"/>
      <c r="K39" s="65"/>
      <c r="L39" s="67"/>
      <c r="M39" s="146" t="str">
        <f t="shared" si="2"/>
        <v/>
      </c>
      <c r="N39" s="146" t="str">
        <f t="shared" si="7"/>
        <v/>
      </c>
      <c r="O39" s="147" t="str">
        <f t="shared" si="3"/>
        <v/>
      </c>
      <c r="P39" s="147" t="str">
        <f t="shared" si="4"/>
        <v/>
      </c>
    </row>
    <row r="40" spans="1:16" ht="15.6" x14ac:dyDescent="0.3">
      <c r="A40" t="str">
        <f t="shared" si="0"/>
        <v>BPU05 21</v>
      </c>
      <c r="B40" s="14">
        <f t="shared" si="1"/>
        <v>0</v>
      </c>
      <c r="C40">
        <f t="shared" si="5"/>
        <v>21</v>
      </c>
      <c r="D40">
        <v>21</v>
      </c>
      <c r="E40" s="11"/>
      <c r="F40" s="11"/>
      <c r="G40" s="145" t="str">
        <f>IFERROR(IF(H40&lt;&gt;"",COUNTA($H$20:H40),""),"")</f>
        <v/>
      </c>
      <c r="H40" s="152" t="str">
        <f t="shared" si="6"/>
        <v/>
      </c>
      <c r="I40" s="65"/>
      <c r="J40" s="65"/>
      <c r="K40" s="65"/>
      <c r="L40" s="67"/>
      <c r="M40" s="146" t="str">
        <f t="shared" si="2"/>
        <v/>
      </c>
      <c r="N40" s="146" t="str">
        <f t="shared" si="7"/>
        <v/>
      </c>
      <c r="O40" s="147" t="str">
        <f t="shared" si="3"/>
        <v/>
      </c>
      <c r="P40" s="147" t="str">
        <f t="shared" si="4"/>
        <v/>
      </c>
    </row>
    <row r="41" spans="1:16" ht="15.6" x14ac:dyDescent="0.3">
      <c r="A41" t="str">
        <f t="shared" si="0"/>
        <v>BPU05 22</v>
      </c>
      <c r="B41" s="14">
        <f t="shared" si="1"/>
        <v>0</v>
      </c>
      <c r="C41">
        <f t="shared" si="5"/>
        <v>22</v>
      </c>
      <c r="D41">
        <v>22</v>
      </c>
      <c r="E41" s="11"/>
      <c r="F41" s="11"/>
      <c r="G41" s="145" t="str">
        <f>IFERROR(IF(H41&lt;&gt;"",COUNTA($H$20:H41),""),"")</f>
        <v/>
      </c>
      <c r="H41" s="152" t="str">
        <f t="shared" si="6"/>
        <v/>
      </c>
      <c r="I41" s="65"/>
      <c r="J41" s="65"/>
      <c r="K41" s="65"/>
      <c r="L41" s="67"/>
      <c r="M41" s="146" t="str">
        <f t="shared" si="2"/>
        <v/>
      </c>
      <c r="N41" s="146" t="str">
        <f t="shared" si="7"/>
        <v/>
      </c>
      <c r="O41" s="147" t="str">
        <f t="shared" si="3"/>
        <v/>
      </c>
      <c r="P41" s="147" t="str">
        <f t="shared" si="4"/>
        <v/>
      </c>
    </row>
    <row r="42" spans="1:16" ht="15.6" x14ac:dyDescent="0.3">
      <c r="A42" t="str">
        <f t="shared" si="0"/>
        <v>BPU05 23</v>
      </c>
      <c r="B42" s="14">
        <f t="shared" si="1"/>
        <v>0</v>
      </c>
      <c r="C42">
        <f t="shared" si="5"/>
        <v>23</v>
      </c>
      <c r="D42">
        <v>23</v>
      </c>
      <c r="E42" s="11"/>
      <c r="F42" s="11"/>
      <c r="G42" s="145" t="str">
        <f>IFERROR(IF(H42&lt;&gt;"",COUNTA($H$20:H42),""),"")</f>
        <v/>
      </c>
      <c r="H42" s="152" t="str">
        <f t="shared" si="6"/>
        <v/>
      </c>
      <c r="I42" s="65"/>
      <c r="J42" s="65"/>
      <c r="K42" s="65"/>
      <c r="L42" s="67"/>
      <c r="M42" s="146" t="str">
        <f t="shared" si="2"/>
        <v/>
      </c>
      <c r="N42" s="146" t="str">
        <f t="shared" si="7"/>
        <v/>
      </c>
      <c r="O42" s="147" t="str">
        <f t="shared" si="3"/>
        <v/>
      </c>
      <c r="P42" s="147" t="str">
        <f t="shared" si="4"/>
        <v/>
      </c>
    </row>
    <row r="43" spans="1:16" ht="15.6" x14ac:dyDescent="0.3">
      <c r="A43" t="str">
        <f t="shared" si="0"/>
        <v>BPU05 24</v>
      </c>
      <c r="B43" s="14">
        <f t="shared" si="1"/>
        <v>0</v>
      </c>
      <c r="C43">
        <f t="shared" si="5"/>
        <v>24</v>
      </c>
      <c r="D43">
        <v>24</v>
      </c>
      <c r="E43" s="11"/>
      <c r="F43" s="11"/>
      <c r="G43" s="145" t="str">
        <f>IFERROR(IF(H43&lt;&gt;"",COUNTA($H$20:H43),""),"")</f>
        <v/>
      </c>
      <c r="H43" s="152" t="str">
        <f t="shared" si="6"/>
        <v/>
      </c>
      <c r="I43" s="65"/>
      <c r="J43" s="65"/>
      <c r="K43" s="65"/>
      <c r="L43" s="67"/>
      <c r="M43" s="146" t="str">
        <f t="shared" si="2"/>
        <v/>
      </c>
      <c r="N43" s="146" t="str">
        <f t="shared" si="7"/>
        <v/>
      </c>
      <c r="O43" s="147" t="str">
        <f t="shared" si="3"/>
        <v/>
      </c>
      <c r="P43" s="147" t="str">
        <f t="shared" si="4"/>
        <v/>
      </c>
    </row>
    <row r="44" spans="1:16" ht="15.6" x14ac:dyDescent="0.3">
      <c r="A44" t="str">
        <f t="shared" si="0"/>
        <v>BPU05 25</v>
      </c>
      <c r="B44" s="14">
        <f t="shared" si="1"/>
        <v>0</v>
      </c>
      <c r="C44">
        <f t="shared" si="5"/>
        <v>25</v>
      </c>
      <c r="D44">
        <v>25</v>
      </c>
      <c r="E44" s="11"/>
      <c r="F44" s="11"/>
      <c r="G44" s="145" t="str">
        <f>IFERROR(IF(H44&lt;&gt;"",COUNTA($H$20:H44),""),"")</f>
        <v/>
      </c>
      <c r="H44" s="152" t="str">
        <f t="shared" si="6"/>
        <v/>
      </c>
      <c r="I44" s="65"/>
      <c r="J44" s="65"/>
      <c r="K44" s="65"/>
      <c r="L44" s="67"/>
      <c r="M44" s="146" t="str">
        <f t="shared" si="2"/>
        <v/>
      </c>
      <c r="N44" s="146" t="str">
        <f t="shared" si="7"/>
        <v/>
      </c>
      <c r="O44" s="147" t="str">
        <f t="shared" si="3"/>
        <v/>
      </c>
      <c r="P44" s="147" t="str">
        <f t="shared" si="4"/>
        <v/>
      </c>
    </row>
    <row r="45" spans="1:16" ht="15.6" x14ac:dyDescent="0.3">
      <c r="A45" t="str">
        <f t="shared" si="0"/>
        <v>BPU05 26</v>
      </c>
      <c r="B45" s="14">
        <f t="shared" si="1"/>
        <v>0</v>
      </c>
      <c r="C45">
        <f t="shared" si="5"/>
        <v>26</v>
      </c>
      <c r="D45">
        <v>26</v>
      </c>
      <c r="E45" s="11"/>
      <c r="F45" s="11"/>
      <c r="G45" s="145" t="str">
        <f>IFERROR(IF(H45&lt;&gt;"",COUNTA($H$20:H45),""),"")</f>
        <v/>
      </c>
      <c r="H45" s="152" t="str">
        <f t="shared" si="6"/>
        <v/>
      </c>
      <c r="I45" s="65"/>
      <c r="J45" s="65"/>
      <c r="K45" s="65"/>
      <c r="L45" s="67"/>
      <c r="M45" s="146" t="str">
        <f t="shared" si="2"/>
        <v/>
      </c>
      <c r="N45" s="146" t="str">
        <f t="shared" si="7"/>
        <v/>
      </c>
      <c r="O45" s="147" t="str">
        <f t="shared" si="3"/>
        <v/>
      </c>
      <c r="P45" s="147" t="str">
        <f t="shared" si="4"/>
        <v/>
      </c>
    </row>
    <row r="46" spans="1:16" ht="15.6" x14ac:dyDescent="0.3">
      <c r="A46" t="str">
        <f t="shared" si="0"/>
        <v>BPU05 27</v>
      </c>
      <c r="B46" s="14">
        <f t="shared" si="1"/>
        <v>0</v>
      </c>
      <c r="C46">
        <f t="shared" si="5"/>
        <v>27</v>
      </c>
      <c r="D46">
        <v>27</v>
      </c>
      <c r="E46" s="11"/>
      <c r="F46" s="11"/>
      <c r="G46" s="145" t="str">
        <f>IFERROR(IF(H46&lt;&gt;"",COUNTA($H$20:H46),""),"")</f>
        <v/>
      </c>
      <c r="H46" s="152" t="str">
        <f t="shared" si="6"/>
        <v/>
      </c>
      <c r="I46" s="65"/>
      <c r="J46" s="65"/>
      <c r="K46" s="65"/>
      <c r="L46" s="67"/>
      <c r="M46" s="146" t="str">
        <f t="shared" si="2"/>
        <v/>
      </c>
      <c r="N46" s="146" t="str">
        <f t="shared" si="7"/>
        <v/>
      </c>
      <c r="O46" s="147" t="str">
        <f t="shared" si="3"/>
        <v/>
      </c>
      <c r="P46" s="147" t="str">
        <f t="shared" si="4"/>
        <v/>
      </c>
    </row>
    <row r="47" spans="1:16" ht="15.6" x14ac:dyDescent="0.3">
      <c r="A47" t="str">
        <f t="shared" si="0"/>
        <v>BPU05 28</v>
      </c>
      <c r="B47" s="14">
        <f t="shared" si="1"/>
        <v>0</v>
      </c>
      <c r="C47">
        <f t="shared" si="5"/>
        <v>28</v>
      </c>
      <c r="D47">
        <v>28</v>
      </c>
      <c r="E47" s="11"/>
      <c r="F47" s="11"/>
      <c r="G47" s="145" t="str">
        <f>IFERROR(IF(H47&lt;&gt;"",COUNTA($H$20:H47),""),"")</f>
        <v/>
      </c>
      <c r="H47" s="152" t="str">
        <f t="shared" si="6"/>
        <v/>
      </c>
      <c r="I47" s="65"/>
      <c r="J47" s="65"/>
      <c r="K47" s="65"/>
      <c r="L47" s="67"/>
      <c r="M47" s="146" t="str">
        <f t="shared" si="2"/>
        <v/>
      </c>
      <c r="N47" s="146" t="str">
        <f t="shared" si="7"/>
        <v/>
      </c>
      <c r="O47" s="147" t="str">
        <f t="shared" si="3"/>
        <v/>
      </c>
      <c r="P47" s="147" t="str">
        <f t="shared" si="4"/>
        <v/>
      </c>
    </row>
    <row r="48" spans="1:16" ht="15.6" x14ac:dyDescent="0.3">
      <c r="A48" t="str">
        <f t="shared" si="0"/>
        <v>BPU05 29</v>
      </c>
      <c r="B48" s="14">
        <f t="shared" si="1"/>
        <v>0</v>
      </c>
      <c r="C48">
        <f t="shared" si="5"/>
        <v>29</v>
      </c>
      <c r="D48">
        <v>29</v>
      </c>
      <c r="E48" s="11"/>
      <c r="F48" s="11"/>
      <c r="G48" s="145" t="str">
        <f>IFERROR(IF(H48&lt;&gt;"",COUNTA($H$20:H48),""),"")</f>
        <v/>
      </c>
      <c r="H48" s="152" t="str">
        <f t="shared" si="6"/>
        <v/>
      </c>
      <c r="I48" s="65"/>
      <c r="J48" s="65"/>
      <c r="K48" s="65"/>
      <c r="L48" s="67"/>
      <c r="M48" s="146" t="str">
        <f t="shared" si="2"/>
        <v/>
      </c>
      <c r="N48" s="146" t="str">
        <f t="shared" si="7"/>
        <v/>
      </c>
      <c r="O48" s="147" t="str">
        <f t="shared" si="3"/>
        <v/>
      </c>
      <c r="P48" s="147" t="str">
        <f t="shared" si="4"/>
        <v/>
      </c>
    </row>
    <row r="49" spans="1:22" ht="15.6" x14ac:dyDescent="0.3">
      <c r="A49" t="str">
        <f t="shared" si="0"/>
        <v>BPU05 30</v>
      </c>
      <c r="B49" s="14">
        <f t="shared" si="1"/>
        <v>0</v>
      </c>
      <c r="C49">
        <f t="shared" si="5"/>
        <v>30</v>
      </c>
      <c r="D49">
        <v>30</v>
      </c>
      <c r="E49" s="11"/>
      <c r="F49" s="11"/>
      <c r="G49" s="145" t="str">
        <f>IFERROR(IF(H49&lt;&gt;"",COUNTA($H$20:H49),""),"")</f>
        <v/>
      </c>
      <c r="H49" s="152" t="str">
        <f t="shared" si="6"/>
        <v/>
      </c>
      <c r="I49" s="65"/>
      <c r="J49" s="65"/>
      <c r="K49" s="65"/>
      <c r="L49" s="67"/>
      <c r="M49" s="146" t="str">
        <f t="shared" si="2"/>
        <v/>
      </c>
      <c r="N49" s="146" t="str">
        <f t="shared" si="7"/>
        <v/>
      </c>
      <c r="O49" s="147" t="str">
        <f t="shared" si="3"/>
        <v/>
      </c>
      <c r="P49" s="147" t="str">
        <f t="shared" si="4"/>
        <v/>
      </c>
    </row>
    <row r="50" spans="1:22" ht="15.6" x14ac:dyDescent="0.3">
      <c r="B50">
        <v>1</v>
      </c>
      <c r="E50" s="11"/>
      <c r="F50" s="11"/>
      <c r="G50" s="223" t="s">
        <v>54</v>
      </c>
      <c r="H50" s="224"/>
      <c r="I50" s="224"/>
      <c r="J50" s="224"/>
      <c r="K50" s="224"/>
      <c r="L50" s="224"/>
      <c r="M50" s="224"/>
      <c r="N50" s="224"/>
      <c r="O50" s="225"/>
      <c r="P50" s="148">
        <f>SUM(P20:P49)</f>
        <v>1988000</v>
      </c>
      <c r="T50" s="10"/>
      <c r="V50" t="str">
        <f>IF(V9=2,"2","")</f>
        <v/>
      </c>
    </row>
    <row r="51" spans="1:22" ht="22.5" customHeight="1" x14ac:dyDescent="0.3">
      <c r="B51" s="14">
        <v>1</v>
      </c>
      <c r="E51" s="140"/>
      <c r="F51" s="140"/>
      <c r="G51" s="140"/>
      <c r="H51" s="140"/>
      <c r="I51" s="140"/>
      <c r="J51" s="140"/>
      <c r="K51" s="141"/>
      <c r="N51" s="140"/>
      <c r="O51" s="140"/>
      <c r="P51" s="140"/>
    </row>
    <row r="52" spans="1:22" ht="22.5" customHeight="1" x14ac:dyDescent="0.3">
      <c r="B52" s="14">
        <v>1</v>
      </c>
      <c r="E52" s="131" t="s">
        <v>620</v>
      </c>
      <c r="F52" s="140"/>
      <c r="G52" s="140"/>
      <c r="H52" s="140"/>
      <c r="I52" s="140"/>
      <c r="J52" s="140"/>
      <c r="K52" s="141"/>
      <c r="N52" s="140"/>
      <c r="O52" s="140"/>
      <c r="P52" s="140"/>
    </row>
    <row r="53" spans="1:22" ht="22.5" customHeight="1" x14ac:dyDescent="0.3">
      <c r="B53" s="14">
        <v>1</v>
      </c>
      <c r="E53" s="140"/>
      <c r="F53" s="140"/>
      <c r="G53" s="140"/>
      <c r="H53" s="140"/>
      <c r="I53" s="140"/>
      <c r="J53" s="140"/>
      <c r="K53" s="141"/>
      <c r="N53" s="140"/>
      <c r="O53" s="140"/>
      <c r="P53" s="140"/>
    </row>
    <row r="54" spans="1:22" ht="15.6" x14ac:dyDescent="0.3">
      <c r="B54" s="14">
        <v>1</v>
      </c>
      <c r="E54" s="11"/>
      <c r="F54" s="11"/>
      <c r="G54" s="11"/>
      <c r="H54" s="11"/>
      <c r="I54" s="11"/>
      <c r="J54" s="11"/>
      <c r="K54" s="142"/>
      <c r="N54" s="14" t="str">
        <f>IFERROR(VLOOKUP(S10,DATA_KAS,13,FALSE),"")&amp;", "</f>
        <v xml:space="preserve">Kembayan, </v>
      </c>
      <c r="O54" s="226">
        <f>IFERROR(VLOOKUP(S10,DATA_KAS,3,FALSE),"")</f>
        <v>45385</v>
      </c>
      <c r="P54" s="226"/>
      <c r="R54" t="s">
        <v>633</v>
      </c>
    </row>
    <row r="55" spans="1:22" ht="15.6" x14ac:dyDescent="0.3">
      <c r="B55" s="14">
        <v>1</v>
      </c>
      <c r="E55" s="11"/>
      <c r="F55" s="11"/>
      <c r="G55" s="11"/>
      <c r="H55" s="11"/>
      <c r="I55" s="11"/>
      <c r="J55" s="11"/>
      <c r="K55" s="183"/>
      <c r="L55" s="183"/>
      <c r="M55" s="11"/>
      <c r="O55" s="11" t="s">
        <v>57</v>
      </c>
      <c r="P55" s="11"/>
      <c r="Q55" s="11"/>
      <c r="R55" s="11"/>
    </row>
    <row r="56" spans="1:22" ht="15.6" x14ac:dyDescent="0.3">
      <c r="B56" s="14">
        <v>1</v>
      </c>
      <c r="E56" s="11"/>
      <c r="F56" s="11"/>
      <c r="G56" s="13"/>
      <c r="H56" s="11"/>
      <c r="I56" s="11"/>
      <c r="J56" s="11"/>
      <c r="K56" s="11"/>
      <c r="L56" s="11"/>
      <c r="M56" s="11"/>
      <c r="O56" s="11" t="str">
        <f>'DATA UMUM'!D2</f>
        <v>SD Ninja 01 Konoha</v>
      </c>
      <c r="P56" s="11"/>
    </row>
    <row r="57" spans="1:22" ht="15.6" x14ac:dyDescent="0.3">
      <c r="B57" s="14">
        <v>1</v>
      </c>
      <c r="E57" s="11"/>
      <c r="F57" s="11"/>
      <c r="G57" s="13"/>
      <c r="H57" s="11"/>
      <c r="I57" s="11"/>
      <c r="J57" s="11"/>
      <c r="K57" s="11"/>
      <c r="L57" s="11"/>
      <c r="M57" s="11"/>
      <c r="O57" s="11"/>
      <c r="P57" s="11"/>
    </row>
    <row r="58" spans="1:22" ht="15.6" x14ac:dyDescent="0.3">
      <c r="B58" s="14">
        <v>1</v>
      </c>
      <c r="E58" s="11"/>
      <c r="F58" s="11"/>
      <c r="G58" s="13"/>
      <c r="H58" s="11"/>
      <c r="I58" s="11"/>
      <c r="J58" s="11"/>
      <c r="K58" s="11"/>
      <c r="L58" s="11"/>
      <c r="M58" s="11"/>
      <c r="O58" s="11"/>
      <c r="P58" s="11"/>
    </row>
    <row r="59" spans="1:22" ht="15.6" x14ac:dyDescent="0.3">
      <c r="B59" s="14">
        <v>1</v>
      </c>
      <c r="E59" s="11"/>
      <c r="F59" s="11"/>
      <c r="G59" s="13"/>
      <c r="H59" s="11"/>
      <c r="I59" s="11"/>
      <c r="J59" s="11"/>
      <c r="K59" s="11"/>
      <c r="L59" s="11"/>
      <c r="M59" s="11"/>
      <c r="O59" s="11"/>
      <c r="P59" s="11"/>
    </row>
    <row r="60" spans="1:22" ht="15.6" x14ac:dyDescent="0.3">
      <c r="B60" s="14">
        <v>1</v>
      </c>
      <c r="E60" s="11"/>
      <c r="F60" s="24"/>
      <c r="G60" s="24"/>
      <c r="H60" s="24"/>
      <c r="I60" s="24"/>
      <c r="J60" s="11"/>
      <c r="K60" s="187"/>
      <c r="L60" s="187"/>
      <c r="M60" s="187"/>
      <c r="O60" s="11"/>
      <c r="P60" s="11"/>
    </row>
    <row r="61" spans="1:22" ht="15.6" x14ac:dyDescent="0.3">
      <c r="B61" s="14">
        <v>1</v>
      </c>
      <c r="E61" s="11"/>
      <c r="F61" s="11"/>
      <c r="G61" s="11"/>
      <c r="H61" s="11"/>
      <c r="I61" s="11"/>
      <c r="J61" s="11"/>
      <c r="K61" s="183"/>
      <c r="L61" s="183"/>
      <c r="M61" s="183"/>
      <c r="N61" s="11"/>
      <c r="O61" s="24" t="str">
        <f>'DATA UMUM'!D4</f>
        <v>Shikamaru, S.Pd.</v>
      </c>
      <c r="P61" s="11"/>
    </row>
    <row r="62" spans="1:22" x14ac:dyDescent="0.3">
      <c r="B62" s="14">
        <v>1</v>
      </c>
      <c r="O62" t="s">
        <v>734</v>
      </c>
    </row>
    <row r="63" spans="1:22" ht="15.6" x14ac:dyDescent="0.3">
      <c r="B63" s="14">
        <v>1</v>
      </c>
      <c r="O63" s="176" t="str">
        <f>"NIP. "&amp;'DATA UMUM'!D5</f>
        <v>NIP. 012611</v>
      </c>
      <c r="P63" s="176"/>
      <c r="Q63" s="176"/>
      <c r="R63" s="176"/>
    </row>
    <row r="65" spans="15:15" x14ac:dyDescent="0.3">
      <c r="O65" s="144"/>
    </row>
  </sheetData>
  <autoFilter ref="B5:B63" xr:uid="{00000000-0009-0000-0000-000005000000}"/>
  <mergeCells count="15">
    <mergeCell ref="K55:L55"/>
    <mergeCell ref="K60:M60"/>
    <mergeCell ref="K61:M61"/>
    <mergeCell ref="G50:O50"/>
    <mergeCell ref="O54:P54"/>
    <mergeCell ref="E8:P8"/>
    <mergeCell ref="E9:P9"/>
    <mergeCell ref="E16:P16"/>
    <mergeCell ref="E11:P11"/>
    <mergeCell ref="E2:P2"/>
    <mergeCell ref="E3:P3"/>
    <mergeCell ref="E4:P4"/>
    <mergeCell ref="E5:P5"/>
    <mergeCell ref="E6:P6"/>
    <mergeCell ref="E7:P7"/>
  </mergeCells>
  <pageMargins left="0.78740157480314965" right="0.23622047244094491" top="0.74803149606299213" bottom="0.74803149606299213" header="0.31496062992125984" footer="0.31496062992125984"/>
  <pageSetup paperSize="9" scale="71" fitToHeight="0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pinner 1">
              <controlPr defaultSize="0" autoPict="0">
                <anchor moveWithCells="1" sizeWithCells="1">
                  <from>
                    <xdr:col>19</xdr:col>
                    <xdr:colOff>45720</xdr:colOff>
                    <xdr:row>8</xdr:row>
                    <xdr:rowOff>0</xdr:rowOff>
                  </from>
                  <to>
                    <xdr:col>19</xdr:col>
                    <xdr:colOff>502920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>
    <tabColor rgb="FF7030A0"/>
    <pageSetUpPr fitToPage="1"/>
  </sheetPr>
  <dimension ref="A1:R50"/>
  <sheetViews>
    <sheetView showGridLines="0" view="pageBreakPreview" topLeftCell="D1" zoomScale="82" zoomScaleNormal="100" zoomScaleSheetLayoutView="100" workbookViewId="0">
      <pane ySplit="2" topLeftCell="A3" activePane="bottomLeft" state="frozen"/>
      <selection activeCell="D1" sqref="D1"/>
      <selection pane="bottomLeft" activeCell="I2" sqref="I2:L2"/>
    </sheetView>
  </sheetViews>
  <sheetFormatPr defaultRowHeight="14.4" x14ac:dyDescent="0.3"/>
  <cols>
    <col min="1" max="1" width="8.88671875" hidden="1" customWidth="1"/>
    <col min="2" max="2" width="3.109375" hidden="1" customWidth="1"/>
    <col min="3" max="3" width="75.33203125" hidden="1" customWidth="1"/>
    <col min="4" max="4" width="16.44140625" customWidth="1"/>
    <col min="5" max="5" width="5.44140625" customWidth="1"/>
    <col min="6" max="6" width="26.33203125" customWidth="1"/>
    <col min="7" max="7" width="29.6640625" customWidth="1"/>
    <col min="8" max="8" width="21.88671875" customWidth="1"/>
    <col min="9" max="12" width="12.6640625" customWidth="1"/>
    <col min="13" max="13" width="3.6640625" customWidth="1"/>
    <col min="14" max="14" width="10.5546875" customWidth="1"/>
    <col min="18" max="18" width="12.33203125" customWidth="1"/>
  </cols>
  <sheetData>
    <row r="1" spans="1:18" ht="15.6" thickTop="1" thickBot="1" x14ac:dyDescent="0.35">
      <c r="H1" s="171" t="s">
        <v>631</v>
      </c>
      <c r="I1" s="239" t="s">
        <v>553</v>
      </c>
      <c r="J1" s="240"/>
      <c r="K1" s="240"/>
      <c r="L1" s="241"/>
    </row>
    <row r="2" spans="1:18" ht="64.5" customHeight="1" thickTop="1" thickBot="1" x14ac:dyDescent="0.35">
      <c r="A2" t="s">
        <v>600</v>
      </c>
      <c r="H2" s="170" t="str">
        <f>IFERROR(INDEX(NO_BUKTI,MATCH(I2,URAIAN,0)),"")</f>
        <v>BPU07</v>
      </c>
      <c r="I2" s="236" t="s">
        <v>685</v>
      </c>
      <c r="J2" s="237"/>
      <c r="K2" s="237"/>
      <c r="L2" s="238"/>
    </row>
    <row r="3" spans="1:18" ht="18.600000000000001" thickTop="1" x14ac:dyDescent="0.35">
      <c r="D3" s="219" t="s">
        <v>739</v>
      </c>
      <c r="E3" s="219"/>
      <c r="F3" s="219"/>
      <c r="G3" s="219"/>
      <c r="H3" s="219"/>
      <c r="I3" s="219"/>
      <c r="J3" s="219"/>
      <c r="K3" s="219"/>
      <c r="L3" s="219"/>
    </row>
    <row r="4" spans="1:18" ht="18" x14ac:dyDescent="0.35">
      <c r="D4" s="219" t="s">
        <v>740</v>
      </c>
      <c r="E4" s="219"/>
      <c r="F4" s="219"/>
      <c r="G4" s="219"/>
      <c r="H4" s="219"/>
      <c r="I4" s="219"/>
      <c r="J4" s="219"/>
      <c r="K4" s="219"/>
      <c r="L4" s="219"/>
    </row>
    <row r="5" spans="1:18" ht="18" x14ac:dyDescent="0.35">
      <c r="D5" s="219" t="s">
        <v>738</v>
      </c>
      <c r="E5" s="219"/>
      <c r="F5" s="219"/>
      <c r="G5" s="219"/>
      <c r="H5" s="219"/>
      <c r="I5" s="219"/>
      <c r="J5" s="219"/>
      <c r="K5" s="219"/>
      <c r="L5" s="219"/>
    </row>
    <row r="6" spans="1:18" ht="21" x14ac:dyDescent="0.4">
      <c r="D6" s="220" t="str">
        <f>UPPER('DATA UMUM'!D2)</f>
        <v>SD NINJA 01 KONOHA</v>
      </c>
      <c r="E6" s="220"/>
      <c r="F6" s="220"/>
      <c r="G6" s="220"/>
      <c r="H6" s="220"/>
      <c r="I6" s="220"/>
      <c r="J6" s="220"/>
      <c r="K6" s="220"/>
      <c r="L6" s="220"/>
    </row>
    <row r="7" spans="1:18" x14ac:dyDescent="0.3">
      <c r="D7" s="228" t="str">
        <f>'DATA UMUM'!D10</f>
        <v>Desa Konohagakure, Negara Api. 666</v>
      </c>
      <c r="E7" s="228"/>
      <c r="F7" s="228"/>
      <c r="G7" s="228"/>
      <c r="H7" s="228"/>
      <c r="I7" s="228"/>
      <c r="J7" s="228"/>
      <c r="K7" s="228"/>
      <c r="L7" s="228"/>
    </row>
    <row r="8" spans="1:18" s="17" customFormat="1" ht="15" thickBot="1" x14ac:dyDescent="0.35">
      <c r="D8" s="242" t="str">
        <f>"email: "&amp;'DATA UMUM'!D11</f>
        <v>email: sdninja@konohagaku.re</v>
      </c>
      <c r="E8" s="242"/>
      <c r="F8" s="242"/>
      <c r="G8" s="242"/>
      <c r="H8" s="242"/>
      <c r="I8" s="242"/>
      <c r="J8" s="242"/>
      <c r="K8" s="242"/>
      <c r="L8" s="242"/>
    </row>
    <row r="9" spans="1:18" ht="16.2" thickTop="1" x14ac:dyDescent="0.3">
      <c r="D9" s="22"/>
      <c r="E9" s="22"/>
      <c r="F9" s="22"/>
      <c r="G9" s="22"/>
      <c r="H9" s="22"/>
      <c r="I9" s="22"/>
      <c r="J9" s="22"/>
      <c r="K9" s="22"/>
      <c r="L9" s="22"/>
      <c r="O9" s="229"/>
      <c r="P9" s="229"/>
    </row>
    <row r="10" spans="1:18" ht="15.6" x14ac:dyDescent="0.3">
      <c r="D10" s="234" t="s">
        <v>603</v>
      </c>
      <c r="E10" s="234"/>
      <c r="F10" s="234"/>
      <c r="G10" s="234"/>
      <c r="H10" s="234"/>
      <c r="I10" s="234"/>
      <c r="J10" s="234"/>
      <c r="K10" s="234"/>
      <c r="L10" s="234"/>
    </row>
    <row r="11" spans="1:18" ht="15.6" x14ac:dyDescent="0.3">
      <c r="D11" s="230" t="s">
        <v>694</v>
      </c>
      <c r="E11" s="230"/>
      <c r="F11" s="230"/>
      <c r="G11" s="230"/>
      <c r="H11" s="230"/>
      <c r="I11" s="230"/>
      <c r="J11" s="230"/>
      <c r="K11" s="230"/>
      <c r="L11" s="230"/>
      <c r="N11" s="172"/>
    </row>
    <row r="12" spans="1:18" ht="15.6" x14ac:dyDescent="0.3">
      <c r="D12" s="22"/>
      <c r="E12" s="22"/>
      <c r="F12" s="22"/>
      <c r="G12" s="22"/>
      <c r="H12" s="22"/>
      <c r="I12" s="22"/>
      <c r="J12" s="22"/>
      <c r="K12" s="22"/>
      <c r="L12" s="22"/>
      <c r="N12" s="172"/>
      <c r="O12" s="228"/>
      <c r="P12" s="228"/>
      <c r="Q12" s="228"/>
      <c r="R12" s="228"/>
    </row>
    <row r="13" spans="1:18" ht="33" customHeight="1" x14ac:dyDescent="0.3">
      <c r="D13" s="232" t="str">
        <f>"Berdasarkan "&amp;IFERROR(VLOOKUP(I2,data_lampiran2,2,FALSE),"PERLU DIISI"&amp;"")&amp;", maka yang bertandatangan di bawah ini Kepala Sekolah "&amp;'DATA UMUM'!D2</f>
        <v>Berdasarkan surat undangan rapat Kombel Gugus II Sungai Dangin nomor 422/12/SD.07/I/2024 tanggal 18 Januari 2024, maka yang bertandatangan di bawah ini Kepala Sekolah SD Ninja 01 Konoha</v>
      </c>
      <c r="E13" s="232"/>
      <c r="F13" s="232"/>
      <c r="G13" s="232"/>
      <c r="H13" s="232"/>
      <c r="I13" s="232"/>
      <c r="J13" s="232"/>
      <c r="K13" s="232"/>
      <c r="L13" s="232"/>
      <c r="N13" s="231"/>
      <c r="O13" s="227"/>
      <c r="P13" s="227"/>
      <c r="Q13" s="227"/>
      <c r="R13" s="227"/>
    </row>
    <row r="14" spans="1:18" ht="26.1" customHeight="1" x14ac:dyDescent="0.3">
      <c r="D14" s="233" t="s">
        <v>606</v>
      </c>
      <c r="E14" s="233"/>
      <c r="F14" s="233"/>
      <c r="G14" s="233"/>
      <c r="H14" s="233"/>
      <c r="I14" s="233"/>
      <c r="J14" s="233"/>
      <c r="K14" s="233"/>
      <c r="L14" s="233"/>
      <c r="N14" s="231"/>
      <c r="O14" s="227"/>
      <c r="P14" s="227"/>
      <c r="Q14" s="227"/>
      <c r="R14" s="227"/>
    </row>
    <row r="15" spans="1:18" ht="28.35" customHeight="1" x14ac:dyDescent="0.3">
      <c r="B15">
        <v>1</v>
      </c>
      <c r="D15" s="128" t="s">
        <v>607</v>
      </c>
      <c r="E15" s="23" t="s">
        <v>567</v>
      </c>
      <c r="F15" s="129" t="s">
        <v>568</v>
      </c>
      <c r="G15" s="129" t="s">
        <v>605</v>
      </c>
      <c r="H15" s="130" t="s">
        <v>569</v>
      </c>
      <c r="I15" s="131"/>
      <c r="J15" s="132"/>
      <c r="K15" s="132"/>
      <c r="L15" s="131"/>
      <c r="Q15" s="20"/>
    </row>
    <row r="16" spans="1:18" ht="39" customHeight="1" x14ac:dyDescent="0.3">
      <c r="B16">
        <f>IF(F16:F16&lt;&gt;"",1,0)</f>
        <v>1</v>
      </c>
      <c r="C16" t="str">
        <f>$I$2&amp;" "&amp;E16</f>
        <v>Transport kegiatan Kombel KKG Gugus 2 Sungai Dangin bulan Januari 1</v>
      </c>
      <c r="D16" s="128"/>
      <c r="E16" s="23">
        <v>1</v>
      </c>
      <c r="F16" s="129" t="str">
        <f>IFERROR(VLOOKUP(C16,data_lampiran3,5,FALSE),"")</f>
        <v>Shikamaru, S.Pd.</v>
      </c>
      <c r="G16" s="129" t="str">
        <f t="shared" ref="G16:G22" si="0">IFERROR(VLOOKUP(C16,data_lampiran3,6,FALSE)," ")</f>
        <v>012611</v>
      </c>
      <c r="H16" s="133" t="str">
        <f t="shared" ref="H16:H35" si="1">IFERROR(VLOOKUP(C16,data_lampiran3,7,FALSE),"")</f>
        <v>Kepala Sekolah</v>
      </c>
      <c r="I16" s="131"/>
      <c r="J16" s="132"/>
      <c r="K16" s="132"/>
      <c r="L16" s="134"/>
      <c r="Q16" s="21"/>
    </row>
    <row r="17" spans="2:12" ht="39" customHeight="1" x14ac:dyDescent="0.3">
      <c r="B17">
        <f t="shared" ref="B17:B35" si="2">IF(F17:F17&lt;&gt;"",1,0)</f>
        <v>1</v>
      </c>
      <c r="C17" t="str">
        <f t="shared" ref="C17:C35" si="3">$I$2&amp;" "&amp;E17</f>
        <v>Transport kegiatan Kombel KKG Gugus 2 Sungai Dangin bulan Januari 2</v>
      </c>
      <c r="D17" s="128"/>
      <c r="E17" s="23">
        <v>2</v>
      </c>
      <c r="F17" s="129" t="str">
        <f t="shared" ref="F17:F35" si="4">IFERROR(VLOOKUP(C17,data_lampiran3,5,FALSE),"")</f>
        <v>Shikamaru, S.Pd.</v>
      </c>
      <c r="G17" s="129" t="str">
        <f t="shared" si="0"/>
        <v>012611</v>
      </c>
      <c r="H17" s="133" t="str">
        <f t="shared" si="1"/>
        <v>Guru</v>
      </c>
      <c r="I17" s="131"/>
      <c r="J17" s="132"/>
      <c r="K17" s="132"/>
      <c r="L17" s="131"/>
    </row>
    <row r="18" spans="2:12" ht="39" customHeight="1" x14ac:dyDescent="0.3">
      <c r="B18">
        <f t="shared" si="2"/>
        <v>1</v>
      </c>
      <c r="C18" t="str">
        <f t="shared" si="3"/>
        <v>Transport kegiatan Kombel KKG Gugus 2 Sungai Dangin bulan Januari 3</v>
      </c>
      <c r="D18" s="128"/>
      <c r="E18" s="23">
        <v>3</v>
      </c>
      <c r="F18" s="129" t="str">
        <f t="shared" si="4"/>
        <v>Temari, S.Pd.</v>
      </c>
      <c r="G18" s="129" t="str">
        <f t="shared" si="0"/>
        <v>53-004</v>
      </c>
      <c r="H18" s="133" t="str">
        <f t="shared" si="1"/>
        <v>Guru</v>
      </c>
      <c r="I18" s="131"/>
      <c r="J18" s="132"/>
      <c r="K18" s="132"/>
      <c r="L18" s="134"/>
    </row>
    <row r="19" spans="2:12" ht="39" customHeight="1" x14ac:dyDescent="0.3">
      <c r="B19">
        <f t="shared" si="2"/>
        <v>1</v>
      </c>
      <c r="C19" t="str">
        <f t="shared" si="3"/>
        <v>Transport kegiatan Kombel KKG Gugus 2 Sungai Dangin bulan Januari 4</v>
      </c>
      <c r="D19" s="128"/>
      <c r="E19" s="23">
        <v>4</v>
      </c>
      <c r="F19" s="129" t="str">
        <f t="shared" si="4"/>
        <v>Tenten, S.Pd.</v>
      </c>
      <c r="G19" s="129">
        <f t="shared" si="0"/>
        <v>0</v>
      </c>
      <c r="H19" s="133" t="str">
        <f t="shared" si="1"/>
        <v>Guru</v>
      </c>
      <c r="I19" s="131"/>
      <c r="J19" s="132"/>
      <c r="K19" s="132"/>
      <c r="L19" s="131"/>
    </row>
    <row r="20" spans="2:12" ht="39" customHeight="1" x14ac:dyDescent="0.3">
      <c r="B20">
        <f t="shared" si="2"/>
        <v>1</v>
      </c>
      <c r="C20" t="str">
        <f t="shared" si="3"/>
        <v>Transport kegiatan Kombel KKG Gugus 2 Sungai Dangin bulan Januari 5</v>
      </c>
      <c r="D20" s="128"/>
      <c r="E20" s="23">
        <v>5</v>
      </c>
      <c r="F20" s="129" t="str">
        <f t="shared" si="4"/>
        <v>Sakura, S.Pd.</v>
      </c>
      <c r="G20" s="129">
        <f t="shared" si="0"/>
        <v>0</v>
      </c>
      <c r="H20" s="133" t="str">
        <f t="shared" si="1"/>
        <v>Guru</v>
      </c>
      <c r="I20" s="131"/>
      <c r="J20" s="132"/>
      <c r="K20" s="132"/>
      <c r="L20" s="134"/>
    </row>
    <row r="21" spans="2:12" ht="39" customHeight="1" x14ac:dyDescent="0.3">
      <c r="B21">
        <f t="shared" si="2"/>
        <v>1</v>
      </c>
      <c r="C21" t="str">
        <f t="shared" si="3"/>
        <v>Transport kegiatan Kombel KKG Gugus 2 Sungai Dangin bulan Januari 6</v>
      </c>
      <c r="D21" s="128"/>
      <c r="E21" s="23">
        <v>6</v>
      </c>
      <c r="F21" s="129" t="str">
        <f t="shared" si="4"/>
        <v>Kiba, S.Pd.</v>
      </c>
      <c r="G21" s="129">
        <f t="shared" si="0"/>
        <v>0</v>
      </c>
      <c r="H21" s="133" t="str">
        <f t="shared" si="1"/>
        <v>Guru</v>
      </c>
      <c r="I21" s="131"/>
      <c r="J21" s="132"/>
      <c r="K21" s="132"/>
      <c r="L21" s="131"/>
    </row>
    <row r="22" spans="2:12" ht="39" customHeight="1" x14ac:dyDescent="0.3">
      <c r="B22">
        <f t="shared" si="2"/>
        <v>1</v>
      </c>
      <c r="C22" t="str">
        <f t="shared" si="3"/>
        <v>Transport kegiatan Kombel KKG Gugus 2 Sungai Dangin bulan Januari 7</v>
      </c>
      <c r="D22" s="128"/>
      <c r="E22" s="23">
        <v>7</v>
      </c>
      <c r="F22" s="129" t="str">
        <f t="shared" si="4"/>
        <v>Tenten, S.Pd.</v>
      </c>
      <c r="G22" s="129">
        <f t="shared" si="0"/>
        <v>0</v>
      </c>
      <c r="H22" s="133" t="str">
        <f t="shared" si="1"/>
        <v>Guru</v>
      </c>
      <c r="I22" s="131"/>
      <c r="J22" s="132"/>
      <c r="K22" s="132"/>
      <c r="L22" s="134"/>
    </row>
    <row r="23" spans="2:12" ht="39" hidden="1" customHeight="1" x14ac:dyDescent="0.3">
      <c r="B23">
        <f t="shared" si="2"/>
        <v>0</v>
      </c>
      <c r="C23" t="str">
        <f t="shared" si="3"/>
        <v>Transport kegiatan Kombel KKG Gugus 2 Sungai Dangin bulan Januari 8</v>
      </c>
      <c r="D23" s="128"/>
      <c r="E23" s="23">
        <v>8</v>
      </c>
      <c r="F23" s="129" t="str">
        <f t="shared" si="4"/>
        <v/>
      </c>
      <c r="G23" s="129" t="str">
        <f t="shared" ref="G23:G35" si="5">IFERROR(VLOOKUP(C23,data_lampiran3,6,FALSE),"")</f>
        <v/>
      </c>
      <c r="H23" s="133" t="str">
        <f t="shared" si="1"/>
        <v/>
      </c>
      <c r="I23" s="131"/>
      <c r="J23" s="132"/>
      <c r="K23" s="132"/>
      <c r="L23" s="131"/>
    </row>
    <row r="24" spans="2:12" ht="39" hidden="1" customHeight="1" x14ac:dyDescent="0.3">
      <c r="B24">
        <f t="shared" si="2"/>
        <v>0</v>
      </c>
      <c r="C24" t="str">
        <f t="shared" si="3"/>
        <v>Transport kegiatan Kombel KKG Gugus 2 Sungai Dangin bulan Januari 9</v>
      </c>
      <c r="D24" s="128"/>
      <c r="E24" s="23">
        <v>9</v>
      </c>
      <c r="F24" s="129" t="str">
        <f t="shared" si="4"/>
        <v/>
      </c>
      <c r="G24" s="129" t="str">
        <f t="shared" si="5"/>
        <v/>
      </c>
      <c r="H24" s="133" t="str">
        <f t="shared" si="1"/>
        <v/>
      </c>
      <c r="I24" s="131"/>
      <c r="J24" s="132"/>
      <c r="K24" s="132"/>
      <c r="L24" s="134"/>
    </row>
    <row r="25" spans="2:12" ht="39" hidden="1" customHeight="1" x14ac:dyDescent="0.3">
      <c r="B25">
        <f t="shared" si="2"/>
        <v>0</v>
      </c>
      <c r="C25" t="str">
        <f t="shared" si="3"/>
        <v>Transport kegiatan Kombel KKG Gugus 2 Sungai Dangin bulan Januari 10</v>
      </c>
      <c r="D25" s="128"/>
      <c r="E25" s="23">
        <v>10</v>
      </c>
      <c r="F25" s="129" t="str">
        <f t="shared" si="4"/>
        <v/>
      </c>
      <c r="G25" s="129" t="str">
        <f t="shared" si="5"/>
        <v/>
      </c>
      <c r="H25" s="133" t="str">
        <f t="shared" si="1"/>
        <v/>
      </c>
      <c r="I25" s="131"/>
      <c r="J25" s="132"/>
      <c r="K25" s="132"/>
      <c r="L25" s="131"/>
    </row>
    <row r="26" spans="2:12" ht="39" hidden="1" customHeight="1" x14ac:dyDescent="0.3">
      <c r="B26">
        <f t="shared" si="2"/>
        <v>0</v>
      </c>
      <c r="C26" t="str">
        <f t="shared" si="3"/>
        <v>Transport kegiatan Kombel KKG Gugus 2 Sungai Dangin bulan Januari 11</v>
      </c>
      <c r="D26" s="128"/>
      <c r="E26" s="23">
        <v>11</v>
      </c>
      <c r="F26" s="129" t="str">
        <f t="shared" si="4"/>
        <v/>
      </c>
      <c r="G26" s="129" t="str">
        <f t="shared" si="5"/>
        <v/>
      </c>
      <c r="H26" s="133" t="str">
        <f t="shared" si="1"/>
        <v/>
      </c>
      <c r="I26" s="131"/>
      <c r="J26" s="132"/>
      <c r="K26" s="132"/>
      <c r="L26" s="134"/>
    </row>
    <row r="27" spans="2:12" ht="39" hidden="1" customHeight="1" x14ac:dyDescent="0.3">
      <c r="B27">
        <f t="shared" si="2"/>
        <v>0</v>
      </c>
      <c r="C27" t="str">
        <f t="shared" si="3"/>
        <v>Transport kegiatan Kombel KKG Gugus 2 Sungai Dangin bulan Januari 12</v>
      </c>
      <c r="D27" s="128"/>
      <c r="E27" s="23">
        <v>12</v>
      </c>
      <c r="F27" s="129" t="str">
        <f t="shared" si="4"/>
        <v/>
      </c>
      <c r="G27" s="129" t="str">
        <f t="shared" si="5"/>
        <v/>
      </c>
      <c r="H27" s="133" t="str">
        <f t="shared" si="1"/>
        <v/>
      </c>
      <c r="I27" s="131"/>
      <c r="J27" s="132"/>
      <c r="K27" s="132"/>
      <c r="L27" s="131"/>
    </row>
    <row r="28" spans="2:12" ht="39" hidden="1" customHeight="1" x14ac:dyDescent="0.3">
      <c r="B28">
        <f t="shared" si="2"/>
        <v>0</v>
      </c>
      <c r="C28" t="str">
        <f t="shared" si="3"/>
        <v>Transport kegiatan Kombel KKG Gugus 2 Sungai Dangin bulan Januari 13</v>
      </c>
      <c r="D28" s="128"/>
      <c r="E28" s="23">
        <v>13</v>
      </c>
      <c r="F28" s="129" t="str">
        <f t="shared" si="4"/>
        <v/>
      </c>
      <c r="G28" s="129" t="str">
        <f t="shared" si="5"/>
        <v/>
      </c>
      <c r="H28" s="133" t="str">
        <f t="shared" si="1"/>
        <v/>
      </c>
      <c r="I28" s="131"/>
      <c r="J28" s="132"/>
      <c r="K28" s="132"/>
      <c r="L28" s="134"/>
    </row>
    <row r="29" spans="2:12" ht="39" hidden="1" customHeight="1" x14ac:dyDescent="0.3">
      <c r="B29">
        <f t="shared" si="2"/>
        <v>0</v>
      </c>
      <c r="C29" t="str">
        <f t="shared" si="3"/>
        <v>Transport kegiatan Kombel KKG Gugus 2 Sungai Dangin bulan Januari 14</v>
      </c>
      <c r="D29" s="128"/>
      <c r="E29" s="23">
        <v>14</v>
      </c>
      <c r="F29" s="129" t="str">
        <f t="shared" si="4"/>
        <v/>
      </c>
      <c r="G29" s="129" t="str">
        <f t="shared" si="5"/>
        <v/>
      </c>
      <c r="H29" s="133" t="str">
        <f t="shared" si="1"/>
        <v/>
      </c>
      <c r="I29" s="131"/>
      <c r="J29" s="132"/>
      <c r="K29" s="132"/>
      <c r="L29" s="131"/>
    </row>
    <row r="30" spans="2:12" ht="39" hidden="1" customHeight="1" x14ac:dyDescent="0.3">
      <c r="B30">
        <f t="shared" si="2"/>
        <v>0</v>
      </c>
      <c r="C30" t="str">
        <f t="shared" si="3"/>
        <v>Transport kegiatan Kombel KKG Gugus 2 Sungai Dangin bulan Januari 15</v>
      </c>
      <c r="D30" s="128"/>
      <c r="E30" s="23">
        <v>15</v>
      </c>
      <c r="F30" s="129" t="str">
        <f t="shared" si="4"/>
        <v/>
      </c>
      <c r="G30" s="129" t="str">
        <f t="shared" si="5"/>
        <v/>
      </c>
      <c r="H30" s="133" t="str">
        <f t="shared" si="1"/>
        <v/>
      </c>
      <c r="I30" s="131"/>
      <c r="J30" s="132"/>
      <c r="K30" s="132"/>
      <c r="L30" s="134"/>
    </row>
    <row r="31" spans="2:12" ht="39" hidden="1" customHeight="1" x14ac:dyDescent="0.3">
      <c r="B31">
        <f t="shared" si="2"/>
        <v>0</v>
      </c>
      <c r="C31" t="str">
        <f t="shared" si="3"/>
        <v>Transport kegiatan Kombel KKG Gugus 2 Sungai Dangin bulan Januari 16</v>
      </c>
      <c r="D31" s="128"/>
      <c r="E31" s="23">
        <v>16</v>
      </c>
      <c r="F31" s="129" t="str">
        <f t="shared" si="4"/>
        <v/>
      </c>
      <c r="G31" s="129" t="str">
        <f t="shared" si="5"/>
        <v/>
      </c>
      <c r="H31" s="133" t="str">
        <f t="shared" si="1"/>
        <v/>
      </c>
      <c r="I31" s="131"/>
      <c r="J31" s="132"/>
      <c r="K31" s="132"/>
      <c r="L31" s="131"/>
    </row>
    <row r="32" spans="2:12" ht="39" hidden="1" customHeight="1" x14ac:dyDescent="0.3">
      <c r="B32">
        <f t="shared" si="2"/>
        <v>0</v>
      </c>
      <c r="C32" t="str">
        <f t="shared" si="3"/>
        <v>Transport kegiatan Kombel KKG Gugus 2 Sungai Dangin bulan Januari 17</v>
      </c>
      <c r="D32" s="128"/>
      <c r="E32" s="23">
        <v>17</v>
      </c>
      <c r="F32" s="129" t="str">
        <f t="shared" si="4"/>
        <v/>
      </c>
      <c r="G32" s="129" t="str">
        <f t="shared" si="5"/>
        <v/>
      </c>
      <c r="H32" s="133" t="str">
        <f t="shared" si="1"/>
        <v/>
      </c>
      <c r="I32" s="131"/>
      <c r="J32" s="132"/>
      <c r="K32" s="132"/>
      <c r="L32" s="134"/>
    </row>
    <row r="33" spans="2:12" ht="39" hidden="1" customHeight="1" x14ac:dyDescent="0.3">
      <c r="B33">
        <f t="shared" si="2"/>
        <v>0</v>
      </c>
      <c r="C33" t="str">
        <f t="shared" si="3"/>
        <v>Transport kegiatan Kombel KKG Gugus 2 Sungai Dangin bulan Januari 18</v>
      </c>
      <c r="D33" s="128"/>
      <c r="E33" s="23">
        <v>18</v>
      </c>
      <c r="F33" s="129" t="str">
        <f t="shared" si="4"/>
        <v/>
      </c>
      <c r="G33" s="129" t="str">
        <f t="shared" si="5"/>
        <v/>
      </c>
      <c r="H33" s="133" t="str">
        <f t="shared" si="1"/>
        <v/>
      </c>
      <c r="I33" s="131"/>
      <c r="J33" s="132"/>
      <c r="K33" s="132"/>
      <c r="L33" s="131"/>
    </row>
    <row r="34" spans="2:12" ht="39" hidden="1" customHeight="1" x14ac:dyDescent="0.3">
      <c r="B34">
        <f t="shared" si="2"/>
        <v>0</v>
      </c>
      <c r="C34" t="str">
        <f t="shared" si="3"/>
        <v>Transport kegiatan Kombel KKG Gugus 2 Sungai Dangin bulan Januari 19</v>
      </c>
      <c r="D34" s="128"/>
      <c r="E34" s="23">
        <v>19</v>
      </c>
      <c r="F34" s="129" t="str">
        <f t="shared" si="4"/>
        <v/>
      </c>
      <c r="G34" s="129" t="str">
        <f t="shared" si="5"/>
        <v/>
      </c>
      <c r="H34" s="133" t="str">
        <f t="shared" si="1"/>
        <v/>
      </c>
      <c r="I34" s="131"/>
      <c r="J34" s="132"/>
      <c r="K34" s="132"/>
      <c r="L34" s="134"/>
    </row>
    <row r="35" spans="2:12" ht="39" hidden="1" customHeight="1" x14ac:dyDescent="0.3">
      <c r="B35">
        <f t="shared" si="2"/>
        <v>0</v>
      </c>
      <c r="C35" t="str">
        <f t="shared" si="3"/>
        <v>Transport kegiatan Kombel KKG Gugus 2 Sungai Dangin bulan Januari 20</v>
      </c>
      <c r="D35" s="128"/>
      <c r="E35" s="23">
        <v>20</v>
      </c>
      <c r="F35" s="129" t="str">
        <f t="shared" si="4"/>
        <v/>
      </c>
      <c r="G35" s="129" t="str">
        <f t="shared" si="5"/>
        <v/>
      </c>
      <c r="H35" s="133" t="str">
        <f t="shared" si="1"/>
        <v/>
      </c>
      <c r="I35" s="131"/>
      <c r="J35" s="132"/>
      <c r="K35" s="132"/>
      <c r="L35" s="131"/>
    </row>
    <row r="36" spans="2:12" ht="15.6" x14ac:dyDescent="0.3">
      <c r="D36" s="22"/>
      <c r="E36" s="22"/>
      <c r="F36" s="22"/>
      <c r="G36" s="22"/>
      <c r="H36" s="22"/>
      <c r="I36" s="22"/>
      <c r="J36" s="22"/>
      <c r="K36" s="22"/>
      <c r="L36" s="22"/>
    </row>
    <row r="37" spans="2:12" ht="22.5" customHeight="1" x14ac:dyDescent="0.3">
      <c r="D37" s="135" t="s">
        <v>609</v>
      </c>
      <c r="E37" s="232" t="str">
        <f>"Menghadiri kegiatan "&amp;IFERROR(VLOOKUP(I2,data_lampiran2,3,FALSE),"")</f>
        <v>Menghadiri kegiatan Undangan Rapat Kombel Gugus II Sungai Dangin</v>
      </c>
      <c r="F37" s="232"/>
      <c r="G37" s="232"/>
      <c r="H37" s="232"/>
      <c r="I37" s="232"/>
      <c r="J37" s="232"/>
      <c r="K37" s="232"/>
      <c r="L37" s="232"/>
    </row>
    <row r="38" spans="2:12" ht="15.6" x14ac:dyDescent="0.3">
      <c r="D38" s="22" t="str">
        <f>"Tugas tersebut dilaksanakan pada hari/tanggal:"</f>
        <v>Tugas tersebut dilaksanakan pada hari/tanggal:</v>
      </c>
      <c r="E38" s="22"/>
      <c r="F38" s="22"/>
      <c r="G38" s="158">
        <f>IFERROR(VLOOKUP(I2,data_lampiran2,9,FALSE),"")</f>
        <v>45311</v>
      </c>
      <c r="H38" s="22" t="str">
        <f>" di "&amp;IFERROR(VLOOKUP(I2,data_lampiran2,8,FALSE),"")</f>
        <v xml:space="preserve"> di Kantor Ninja Konoha</v>
      </c>
      <c r="I38" s="22"/>
      <c r="J38" s="22"/>
      <c r="K38" s="22"/>
      <c r="L38" s="22"/>
    </row>
    <row r="39" spans="2:12" ht="34.950000000000003" customHeight="1" x14ac:dyDescent="0.3">
      <c r="D39" s="232" t="s">
        <v>627</v>
      </c>
      <c r="E39" s="232"/>
      <c r="F39" s="232"/>
      <c r="G39" s="232"/>
      <c r="H39" s="232"/>
      <c r="I39" s="232"/>
      <c r="J39" s="232"/>
      <c r="K39" s="232"/>
      <c r="L39" s="232"/>
    </row>
    <row r="40" spans="2:12" ht="15.6" x14ac:dyDescent="0.3">
      <c r="D40" s="136"/>
      <c r="E40" s="137"/>
      <c r="F40" s="137"/>
      <c r="G40" s="137"/>
      <c r="H40" s="137"/>
      <c r="I40" s="137"/>
      <c r="J40" s="137"/>
      <c r="K40" s="137"/>
      <c r="L40" s="137"/>
    </row>
    <row r="41" spans="2:12" ht="15.6" x14ac:dyDescent="0.3">
      <c r="E41" s="136"/>
      <c r="F41" s="136"/>
      <c r="G41" s="136"/>
      <c r="H41" s="136"/>
      <c r="I41" s="136"/>
      <c r="J41" s="235">
        <f>G38</f>
        <v>45311</v>
      </c>
      <c r="K41" s="235"/>
      <c r="L41" s="235"/>
    </row>
    <row r="42" spans="2:12" ht="15.6" x14ac:dyDescent="0.3">
      <c r="D42" s="22"/>
      <c r="E42" s="22"/>
      <c r="F42" s="22"/>
      <c r="G42" s="22"/>
      <c r="H42" s="22"/>
      <c r="I42" s="22"/>
      <c r="J42" s="22" t="s">
        <v>560</v>
      </c>
      <c r="K42" s="22"/>
      <c r="L42" s="22"/>
    </row>
    <row r="43" spans="2:12" ht="15.6" x14ac:dyDescent="0.3">
      <c r="D43" s="22"/>
      <c r="E43" s="22"/>
      <c r="F43" s="22"/>
      <c r="G43" s="22"/>
      <c r="H43" s="22"/>
      <c r="I43" s="22"/>
      <c r="J43" s="22" t="str">
        <f>'DATA UMUM'!D2</f>
        <v>SD Ninja 01 Konoha</v>
      </c>
      <c r="K43" s="22"/>
      <c r="L43" s="22"/>
    </row>
    <row r="44" spans="2:12" ht="15.6" x14ac:dyDescent="0.3">
      <c r="D44" s="22"/>
      <c r="E44" s="22"/>
      <c r="F44" s="22"/>
      <c r="G44" s="22"/>
      <c r="H44" s="22"/>
      <c r="I44" s="22"/>
      <c r="J44" s="22"/>
      <c r="K44" s="22"/>
      <c r="L44" s="22"/>
    </row>
    <row r="45" spans="2:12" ht="15.6" x14ac:dyDescent="0.3">
      <c r="D45" s="22"/>
      <c r="E45" s="22"/>
      <c r="F45" s="22"/>
      <c r="G45" s="22"/>
      <c r="H45" s="22"/>
      <c r="I45" s="22"/>
      <c r="J45" s="22"/>
      <c r="K45" s="22"/>
      <c r="L45" s="22"/>
    </row>
    <row r="46" spans="2:12" ht="15.6" x14ac:dyDescent="0.3">
      <c r="D46" s="22"/>
      <c r="E46" s="187"/>
      <c r="F46" s="187"/>
      <c r="G46" s="108"/>
      <c r="H46" s="22"/>
      <c r="I46" s="187"/>
      <c r="J46" s="187"/>
      <c r="K46" s="187"/>
      <c r="L46" s="22"/>
    </row>
    <row r="47" spans="2:12" ht="15.6" x14ac:dyDescent="0.3">
      <c r="D47" s="22"/>
      <c r="E47" s="230"/>
      <c r="F47" s="230"/>
      <c r="G47" s="127"/>
      <c r="H47" s="22"/>
      <c r="I47" s="22"/>
      <c r="J47" s="22"/>
      <c r="K47" s="22"/>
      <c r="L47" s="22"/>
    </row>
    <row r="48" spans="2:12" x14ac:dyDescent="0.3">
      <c r="J48" s="159" t="str">
        <f>'DATA UMUM'!D4</f>
        <v>Shikamaru, S.Pd.</v>
      </c>
    </row>
    <row r="49" spans="10:10" x14ac:dyDescent="0.3">
      <c r="J49" t="s">
        <v>734</v>
      </c>
    </row>
    <row r="50" spans="10:10" x14ac:dyDescent="0.3">
      <c r="J50" t="str">
        <f>"NIP "&amp;'DATA UMUM'!D5</f>
        <v>NIP 012611</v>
      </c>
    </row>
  </sheetData>
  <autoFilter ref="B14:B35" xr:uid="{00000000-0009-0000-0000-000006000000}">
    <filterColumn colId="0">
      <filters>
        <filter val="1"/>
      </filters>
    </filterColumn>
  </autoFilter>
  <mergeCells count="22">
    <mergeCell ref="I2:L2"/>
    <mergeCell ref="I1:L1"/>
    <mergeCell ref="D3:L3"/>
    <mergeCell ref="D8:L8"/>
    <mergeCell ref="D4:L4"/>
    <mergeCell ref="D5:L5"/>
    <mergeCell ref="D6:L6"/>
    <mergeCell ref="D7:L7"/>
    <mergeCell ref="O13:R14"/>
    <mergeCell ref="O12:R12"/>
    <mergeCell ref="O9:P9"/>
    <mergeCell ref="E47:F47"/>
    <mergeCell ref="N13:N14"/>
    <mergeCell ref="E46:F46"/>
    <mergeCell ref="I46:K46"/>
    <mergeCell ref="D13:L13"/>
    <mergeCell ref="D14:L14"/>
    <mergeCell ref="E37:L37"/>
    <mergeCell ref="D39:L39"/>
    <mergeCell ref="D10:L10"/>
    <mergeCell ref="D11:L11"/>
    <mergeCell ref="J41:L41"/>
  </mergeCells>
  <dataValidations count="1">
    <dataValidation type="list" allowBlank="1" showInputMessage="1" showErrorMessage="1" sqref="O13:R14 I2:L2" xr:uid="{00000000-0002-0000-0600-000000000000}">
      <formula1>nama_transaksi</formula1>
    </dataValidation>
  </dataValidations>
  <pageMargins left="0.7" right="0.7" top="0.75" bottom="0.75" header="0.3" footer="0.3"/>
  <pageSetup paperSize="9" scale="58" fitToHeight="0" orientation="portrait" horizont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 filterMode="1">
    <tabColor rgb="FF7030A0"/>
    <pageSetUpPr fitToPage="1"/>
  </sheetPr>
  <dimension ref="A1:T44"/>
  <sheetViews>
    <sheetView showGridLines="0" view="pageBreakPreview" topLeftCell="D1" zoomScale="68" zoomScaleNormal="100" zoomScaleSheetLayoutView="98" workbookViewId="0">
      <pane ySplit="2" topLeftCell="A3" activePane="bottomLeft" state="frozen"/>
      <selection activeCell="D1" sqref="D1"/>
      <selection pane="bottomLeft" activeCell="D5" sqref="D5:N5"/>
    </sheetView>
  </sheetViews>
  <sheetFormatPr defaultRowHeight="14.4" x14ac:dyDescent="0.3"/>
  <cols>
    <col min="1" max="1" width="8.88671875" hidden="1" customWidth="1"/>
    <col min="2" max="2" width="3.109375" hidden="1" customWidth="1"/>
    <col min="3" max="3" width="91.6640625" hidden="1" customWidth="1"/>
    <col min="4" max="4" width="5.44140625" customWidth="1"/>
    <col min="5" max="5" width="26.33203125" customWidth="1"/>
    <col min="6" max="6" width="29.6640625" customWidth="1"/>
    <col min="7" max="7" width="21.88671875" customWidth="1"/>
    <col min="8" max="8" width="9.5546875" bestFit="1" customWidth="1"/>
    <col min="9" max="9" width="14.33203125" customWidth="1"/>
    <col min="10" max="11" width="20.44140625" customWidth="1"/>
    <col min="12" max="12" width="15.109375" customWidth="1"/>
    <col min="13" max="14" width="12.88671875" customWidth="1"/>
    <col min="15" max="15" width="3.6640625" customWidth="1"/>
    <col min="16" max="16" width="13.88671875" customWidth="1"/>
    <col min="17" max="19" width="7.109375" customWidth="1"/>
    <col min="20" max="20" width="19.44140625" customWidth="1"/>
  </cols>
  <sheetData>
    <row r="1" spans="1:20" ht="15.6" thickTop="1" thickBot="1" x14ac:dyDescent="0.35">
      <c r="I1" s="171" t="s">
        <v>632</v>
      </c>
      <c r="J1" s="245" t="s">
        <v>553</v>
      </c>
      <c r="K1" s="245"/>
      <c r="L1" s="245"/>
    </row>
    <row r="2" spans="1:20" ht="64.5" customHeight="1" thickTop="1" thickBot="1" x14ac:dyDescent="0.35">
      <c r="A2" t="s">
        <v>600</v>
      </c>
      <c r="I2" s="173" t="str">
        <f>IFERROR(INDEX(NO_BUKTI,MATCH(J2,URAIAN,0)),"")</f>
        <v>BPU07</v>
      </c>
      <c r="J2" s="244" t="s">
        <v>685</v>
      </c>
      <c r="K2" s="244"/>
      <c r="L2" s="244"/>
    </row>
    <row r="3" spans="1:20" ht="18.600000000000001" thickTop="1" x14ac:dyDescent="0.35">
      <c r="D3" s="219" t="s">
        <v>739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</row>
    <row r="4" spans="1:20" ht="18" x14ac:dyDescent="0.35">
      <c r="D4" s="219" t="s">
        <v>740</v>
      </c>
      <c r="E4" s="219"/>
      <c r="F4" s="219"/>
      <c r="G4" s="219"/>
      <c r="H4" s="219"/>
      <c r="I4" s="219"/>
      <c r="J4" s="219"/>
      <c r="K4" s="219"/>
      <c r="L4" s="219"/>
      <c r="M4" s="219"/>
      <c r="N4" s="219"/>
    </row>
    <row r="5" spans="1:20" ht="18" x14ac:dyDescent="0.35">
      <c r="D5" s="219" t="s">
        <v>738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</row>
    <row r="6" spans="1:20" ht="21" x14ac:dyDescent="0.4">
      <c r="D6" s="220" t="str">
        <f>UPPER('DATA UMUM'!D2)</f>
        <v>SD NINJA 01 KONOHA</v>
      </c>
      <c r="E6" s="220"/>
      <c r="F6" s="220"/>
      <c r="G6" s="220"/>
      <c r="H6" s="220"/>
      <c r="I6" s="220"/>
      <c r="J6" s="220"/>
      <c r="K6" s="220"/>
      <c r="L6" s="220"/>
      <c r="M6" s="220"/>
      <c r="N6" s="220"/>
    </row>
    <row r="7" spans="1:20" x14ac:dyDescent="0.3">
      <c r="D7" s="228" t="str">
        <f>'DATA UMUM'!D10</f>
        <v>Desa Konohagakure, Negara Api. 666</v>
      </c>
      <c r="E7" s="228"/>
      <c r="F7" s="228"/>
      <c r="G7" s="228"/>
      <c r="H7" s="228"/>
      <c r="I7" s="228"/>
      <c r="J7" s="228"/>
      <c r="K7" s="228"/>
      <c r="L7" s="228"/>
      <c r="M7" s="228"/>
      <c r="N7" s="228"/>
    </row>
    <row r="8" spans="1:20" s="17" customFormat="1" ht="15" thickBot="1" x14ac:dyDescent="0.35">
      <c r="D8" s="242" t="str">
        <f>"email: "&amp;'DATA UMUM'!D11</f>
        <v>email: sdninja@konohagaku.re</v>
      </c>
      <c r="E8" s="242"/>
      <c r="F8" s="242"/>
      <c r="G8" s="242"/>
      <c r="H8" s="242"/>
      <c r="I8" s="242"/>
      <c r="J8" s="242"/>
      <c r="K8" s="242"/>
      <c r="L8" s="242"/>
      <c r="M8" s="242"/>
      <c r="N8" s="242"/>
    </row>
    <row r="9" spans="1:20" ht="15" thickTop="1" x14ac:dyDescent="0.3">
      <c r="L9" t="s">
        <v>583</v>
      </c>
      <c r="M9" t="str">
        <f>": "&amp;I2&amp;"/"&amp;"BOSP/"&amp;'DATA UMUM'!D9</f>
        <v>: BPU07/BOSP/2024</v>
      </c>
      <c r="P9" s="172"/>
    </row>
    <row r="10" spans="1:20" ht="15.6" x14ac:dyDescent="0.3">
      <c r="D10" s="234" t="s">
        <v>629</v>
      </c>
      <c r="E10" s="234"/>
      <c r="F10" s="234"/>
      <c r="G10" s="234"/>
      <c r="H10" s="234"/>
      <c r="I10" s="234"/>
      <c r="J10" s="234"/>
      <c r="K10" s="234"/>
      <c r="L10" s="234"/>
      <c r="M10" s="234"/>
      <c r="N10" s="234"/>
      <c r="P10" s="172"/>
      <c r="Q10" s="228"/>
      <c r="R10" s="228"/>
      <c r="S10" s="228"/>
      <c r="T10" s="228"/>
    </row>
    <row r="11" spans="1:20" ht="16.5" customHeight="1" x14ac:dyDescent="0.3">
      <c r="D11" s="230" t="str">
        <f>J2</f>
        <v>Transport kegiatan Kombel KKG Gugus 2 Sungai Dangin bulan Januari</v>
      </c>
      <c r="E11" s="230"/>
      <c r="F11" s="230"/>
      <c r="G11" s="230"/>
      <c r="H11" s="230"/>
      <c r="I11" s="230"/>
      <c r="J11" s="230"/>
      <c r="K11" s="230"/>
      <c r="L11" s="230"/>
      <c r="M11" s="230"/>
      <c r="N11" s="230"/>
      <c r="P11" s="243"/>
      <c r="Q11" s="227"/>
      <c r="R11" s="227"/>
      <c r="S11" s="227"/>
      <c r="T11" s="227"/>
    </row>
    <row r="12" spans="1:20" ht="40.5" customHeight="1" x14ac:dyDescent="0.3"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P12" s="243"/>
      <c r="Q12" s="227"/>
      <c r="R12" s="227"/>
      <c r="S12" s="227"/>
      <c r="T12" s="227"/>
    </row>
    <row r="13" spans="1:20" ht="28.35" customHeight="1" x14ac:dyDescent="0.3">
      <c r="B13">
        <v>1</v>
      </c>
      <c r="D13" s="23" t="s">
        <v>567</v>
      </c>
      <c r="E13" s="129" t="s">
        <v>568</v>
      </c>
      <c r="F13" s="129" t="s">
        <v>605</v>
      </c>
      <c r="G13" s="130" t="s">
        <v>569</v>
      </c>
      <c r="H13" s="130" t="s">
        <v>619</v>
      </c>
      <c r="I13" s="130" t="s">
        <v>617</v>
      </c>
      <c r="J13" s="23" t="s">
        <v>618</v>
      </c>
      <c r="K13" s="23" t="s">
        <v>54</v>
      </c>
      <c r="L13" s="160" t="s">
        <v>570</v>
      </c>
      <c r="M13" s="132"/>
      <c r="N13" s="131"/>
      <c r="R13" s="20"/>
    </row>
    <row r="14" spans="1:20" ht="39" customHeight="1" x14ac:dyDescent="0.3">
      <c r="B14">
        <f>IF(E14:E14&lt;&gt;"",1,0)</f>
        <v>1</v>
      </c>
      <c r="C14" t="str">
        <f>$J$2&amp;" "&amp;L14</f>
        <v>Transport kegiatan Kombel KKG Gugus 2 Sungai Dangin bulan Januari 1</v>
      </c>
      <c r="D14" s="23">
        <v>1</v>
      </c>
      <c r="E14" s="129" t="str">
        <f>IFERROR(VLOOKUP(C14,data_lampiran3,5,FALSE),"")</f>
        <v>Shikamaru, S.Pd.</v>
      </c>
      <c r="F14" s="129" t="str">
        <f t="shared" ref="F14:F33" si="0">IFERROR(VLOOKUP(C14,data_lampiran3,6,FALSE),"")</f>
        <v>012611</v>
      </c>
      <c r="G14" s="23" t="str">
        <f>IFERROR(VLOOKUP(C14,data_lampiran3,7,FALSE),"ISI DULU DATANYA")</f>
        <v>Kepala Sekolah</v>
      </c>
      <c r="H14" s="23">
        <f t="shared" ref="H14:H33" si="1">IFERROR(VLOOKUP(C14,data_lampiran3,11,FALSE),"")</f>
        <v>1</v>
      </c>
      <c r="I14" s="23" t="str">
        <f t="shared" ref="I14:I33" si="2">IFERROR(VLOOKUP(C14,data_lampiran3,12,FALSE),"")</f>
        <v>orang/kegiatan</v>
      </c>
      <c r="J14" s="160">
        <f t="shared" ref="J14:J33" si="3">IFERROR(VLOOKUP(C14,data_lampiran3,13,FALSE),"")</f>
        <v>150000</v>
      </c>
      <c r="K14" s="160">
        <f t="shared" ref="K14:K33" si="4">IFERROR(VLOOKUP(C14,data_lampiran3,14,FALSE),"")</f>
        <v>150000</v>
      </c>
      <c r="L14" s="157">
        <v>1</v>
      </c>
      <c r="M14" s="132"/>
      <c r="N14" s="134"/>
      <c r="R14" s="21"/>
    </row>
    <row r="15" spans="1:20" ht="39" customHeight="1" x14ac:dyDescent="0.3">
      <c r="B15">
        <f t="shared" ref="B15:B33" si="5">IF(E15:E15&lt;&gt;"",1,0)</f>
        <v>1</v>
      </c>
      <c r="C15" t="str">
        <f t="shared" ref="C15:C33" si="6">$J$2&amp;" "&amp;L15</f>
        <v>Transport kegiatan Kombel KKG Gugus 2 Sungai Dangin bulan Januari 2</v>
      </c>
      <c r="D15" s="23">
        <v>2</v>
      </c>
      <c r="E15" s="129" t="str">
        <f>IFERROR(VLOOKUP(C15,data_lampiran3,5,FALSE),"")</f>
        <v>Shikamaru, S.Pd.</v>
      </c>
      <c r="F15" s="129" t="str">
        <f t="shared" si="0"/>
        <v>012611</v>
      </c>
      <c r="G15" s="23" t="str">
        <f t="shared" ref="G15:G33" si="7">IFERROR(VLOOKUP(C15,data_lampiran3,7,FALSE),"")</f>
        <v>Guru</v>
      </c>
      <c r="H15" s="23">
        <f t="shared" si="1"/>
        <v>1</v>
      </c>
      <c r="I15" s="23" t="str">
        <f t="shared" si="2"/>
        <v>orang/kegiatan</v>
      </c>
      <c r="J15" s="160">
        <f t="shared" si="3"/>
        <v>150000</v>
      </c>
      <c r="K15" s="160">
        <f t="shared" si="4"/>
        <v>150000</v>
      </c>
      <c r="L15" s="157">
        <v>2</v>
      </c>
      <c r="M15" s="132"/>
      <c r="N15" s="131"/>
    </row>
    <row r="16" spans="1:20" ht="39" customHeight="1" x14ac:dyDescent="0.3">
      <c r="B16">
        <f t="shared" si="5"/>
        <v>1</v>
      </c>
      <c r="C16" t="str">
        <f t="shared" si="6"/>
        <v>Transport kegiatan Kombel KKG Gugus 2 Sungai Dangin bulan Januari 3</v>
      </c>
      <c r="D16" s="23">
        <v>3</v>
      </c>
      <c r="E16" s="129" t="str">
        <f t="shared" ref="E16:E33" si="8">IFERROR(VLOOKUP(C16,data_lampiran3,5,FALSE),"")</f>
        <v>Temari, S.Pd.</v>
      </c>
      <c r="F16" s="129" t="str">
        <f t="shared" si="0"/>
        <v>53-004</v>
      </c>
      <c r="G16" s="23" t="str">
        <f t="shared" si="7"/>
        <v>Guru</v>
      </c>
      <c r="H16" s="23">
        <f t="shared" si="1"/>
        <v>1</v>
      </c>
      <c r="I16" s="23" t="str">
        <f t="shared" si="2"/>
        <v>orang/kegiatan</v>
      </c>
      <c r="J16" s="160">
        <f t="shared" si="3"/>
        <v>150000</v>
      </c>
      <c r="K16" s="160">
        <f t="shared" si="4"/>
        <v>150000</v>
      </c>
      <c r="L16" s="157">
        <v>3</v>
      </c>
      <c r="M16" s="132"/>
      <c r="N16" s="134"/>
    </row>
    <row r="17" spans="2:14" ht="39" customHeight="1" x14ac:dyDescent="0.3">
      <c r="B17">
        <f t="shared" si="5"/>
        <v>1</v>
      </c>
      <c r="C17" t="str">
        <f t="shared" si="6"/>
        <v>Transport kegiatan Kombel KKG Gugus 2 Sungai Dangin bulan Januari 4</v>
      </c>
      <c r="D17" s="23">
        <v>4</v>
      </c>
      <c r="E17" s="129" t="str">
        <f t="shared" si="8"/>
        <v>Tenten, S.Pd.</v>
      </c>
      <c r="F17" s="129">
        <f t="shared" si="0"/>
        <v>0</v>
      </c>
      <c r="G17" s="23" t="str">
        <f t="shared" si="7"/>
        <v>Guru</v>
      </c>
      <c r="H17" s="23">
        <f t="shared" si="1"/>
        <v>1</v>
      </c>
      <c r="I17" s="23" t="str">
        <f t="shared" si="2"/>
        <v>orang/kegiatan</v>
      </c>
      <c r="J17" s="160">
        <f t="shared" si="3"/>
        <v>150000</v>
      </c>
      <c r="K17" s="160">
        <f t="shared" si="4"/>
        <v>150000</v>
      </c>
      <c r="L17" s="157">
        <v>4</v>
      </c>
      <c r="M17" s="132"/>
      <c r="N17" s="131"/>
    </row>
    <row r="18" spans="2:14" ht="39" customHeight="1" x14ac:dyDescent="0.3">
      <c r="B18">
        <f t="shared" si="5"/>
        <v>1</v>
      </c>
      <c r="C18" t="str">
        <f t="shared" si="6"/>
        <v>Transport kegiatan Kombel KKG Gugus 2 Sungai Dangin bulan Januari 5</v>
      </c>
      <c r="D18" s="23">
        <v>5</v>
      </c>
      <c r="E18" s="129" t="str">
        <f t="shared" si="8"/>
        <v>Sakura, S.Pd.</v>
      </c>
      <c r="F18" s="129">
        <f t="shared" si="0"/>
        <v>0</v>
      </c>
      <c r="G18" s="23" t="str">
        <f t="shared" si="7"/>
        <v>Guru</v>
      </c>
      <c r="H18" s="23">
        <f t="shared" si="1"/>
        <v>1</v>
      </c>
      <c r="I18" s="23" t="str">
        <f t="shared" si="2"/>
        <v>orang/kegiatan</v>
      </c>
      <c r="J18" s="160">
        <f t="shared" si="3"/>
        <v>150000</v>
      </c>
      <c r="K18" s="160">
        <f t="shared" si="4"/>
        <v>150000</v>
      </c>
      <c r="L18" s="157">
        <v>5</v>
      </c>
      <c r="M18" s="132"/>
      <c r="N18" s="134"/>
    </row>
    <row r="19" spans="2:14" ht="39" customHeight="1" x14ac:dyDescent="0.3">
      <c r="B19">
        <f t="shared" si="5"/>
        <v>1</v>
      </c>
      <c r="C19" t="str">
        <f t="shared" si="6"/>
        <v>Transport kegiatan Kombel KKG Gugus 2 Sungai Dangin bulan Januari 6</v>
      </c>
      <c r="D19" s="23">
        <v>6</v>
      </c>
      <c r="E19" s="129" t="str">
        <f t="shared" si="8"/>
        <v>Kiba, S.Pd.</v>
      </c>
      <c r="F19" s="129">
        <f t="shared" si="0"/>
        <v>0</v>
      </c>
      <c r="G19" s="23" t="str">
        <f t="shared" si="7"/>
        <v>Guru</v>
      </c>
      <c r="H19" s="23">
        <f t="shared" si="1"/>
        <v>1</v>
      </c>
      <c r="I19" s="23" t="str">
        <f t="shared" si="2"/>
        <v>orang/kegiatan</v>
      </c>
      <c r="J19" s="160">
        <f t="shared" si="3"/>
        <v>150000</v>
      </c>
      <c r="K19" s="160">
        <f t="shared" si="4"/>
        <v>150000</v>
      </c>
      <c r="L19" s="157">
        <v>6</v>
      </c>
      <c r="M19" s="132"/>
      <c r="N19" s="131"/>
    </row>
    <row r="20" spans="2:14" ht="39" customHeight="1" x14ac:dyDescent="0.3">
      <c r="B20">
        <f t="shared" si="5"/>
        <v>1</v>
      </c>
      <c r="C20" t="str">
        <f t="shared" si="6"/>
        <v>Transport kegiatan Kombel KKG Gugus 2 Sungai Dangin bulan Januari 7</v>
      </c>
      <c r="D20" s="23">
        <v>7</v>
      </c>
      <c r="E20" s="129" t="str">
        <f t="shared" si="8"/>
        <v>Tenten, S.Pd.</v>
      </c>
      <c r="F20" s="129">
        <f t="shared" si="0"/>
        <v>0</v>
      </c>
      <c r="G20" s="23" t="str">
        <f t="shared" si="7"/>
        <v>Guru</v>
      </c>
      <c r="H20" s="23">
        <f t="shared" si="1"/>
        <v>1</v>
      </c>
      <c r="I20" s="23" t="str">
        <f t="shared" si="2"/>
        <v>orang/kegiatan</v>
      </c>
      <c r="J20" s="160">
        <f t="shared" si="3"/>
        <v>150000</v>
      </c>
      <c r="K20" s="160">
        <f t="shared" si="4"/>
        <v>150000</v>
      </c>
      <c r="L20" s="157">
        <v>7</v>
      </c>
      <c r="M20" s="132"/>
      <c r="N20" s="134"/>
    </row>
    <row r="21" spans="2:14" ht="39" hidden="1" customHeight="1" x14ac:dyDescent="0.3">
      <c r="B21">
        <f t="shared" si="5"/>
        <v>0</v>
      </c>
      <c r="C21" t="str">
        <f t="shared" si="6"/>
        <v>Transport kegiatan Kombel KKG Gugus 2 Sungai Dangin bulan Januari 8</v>
      </c>
      <c r="D21" s="23">
        <v>8</v>
      </c>
      <c r="E21" s="129" t="str">
        <f t="shared" si="8"/>
        <v/>
      </c>
      <c r="F21" s="129" t="str">
        <f t="shared" si="0"/>
        <v/>
      </c>
      <c r="G21" s="23" t="str">
        <f t="shared" si="7"/>
        <v/>
      </c>
      <c r="H21" s="23" t="str">
        <f t="shared" si="1"/>
        <v/>
      </c>
      <c r="I21" s="23" t="str">
        <f t="shared" si="2"/>
        <v/>
      </c>
      <c r="J21" s="160" t="str">
        <f t="shared" si="3"/>
        <v/>
      </c>
      <c r="K21" s="160" t="str">
        <f t="shared" si="4"/>
        <v/>
      </c>
      <c r="L21" s="157">
        <v>8</v>
      </c>
      <c r="M21" s="132"/>
      <c r="N21" s="131"/>
    </row>
    <row r="22" spans="2:14" ht="39" hidden="1" customHeight="1" x14ac:dyDescent="0.3">
      <c r="B22">
        <f t="shared" si="5"/>
        <v>0</v>
      </c>
      <c r="C22" t="str">
        <f t="shared" si="6"/>
        <v>Transport kegiatan Kombel KKG Gugus 2 Sungai Dangin bulan Januari 9</v>
      </c>
      <c r="D22" s="23">
        <v>9</v>
      </c>
      <c r="E22" s="129" t="str">
        <f t="shared" si="8"/>
        <v/>
      </c>
      <c r="F22" s="129" t="str">
        <f t="shared" si="0"/>
        <v/>
      </c>
      <c r="G22" s="23" t="str">
        <f t="shared" si="7"/>
        <v/>
      </c>
      <c r="H22" s="23" t="str">
        <f t="shared" si="1"/>
        <v/>
      </c>
      <c r="I22" s="23" t="str">
        <f t="shared" si="2"/>
        <v/>
      </c>
      <c r="J22" s="160" t="str">
        <f t="shared" si="3"/>
        <v/>
      </c>
      <c r="K22" s="160" t="str">
        <f t="shared" si="4"/>
        <v/>
      </c>
      <c r="L22" s="157">
        <v>9</v>
      </c>
      <c r="M22" s="132"/>
      <c r="N22" s="134"/>
    </row>
    <row r="23" spans="2:14" ht="39" hidden="1" customHeight="1" x14ac:dyDescent="0.3">
      <c r="B23">
        <f t="shared" si="5"/>
        <v>0</v>
      </c>
      <c r="C23" t="str">
        <f t="shared" si="6"/>
        <v>Transport kegiatan Kombel KKG Gugus 2 Sungai Dangin bulan Januari 10</v>
      </c>
      <c r="D23" s="23">
        <v>10</v>
      </c>
      <c r="E23" s="129" t="str">
        <f t="shared" si="8"/>
        <v/>
      </c>
      <c r="F23" s="129" t="str">
        <f t="shared" si="0"/>
        <v/>
      </c>
      <c r="G23" s="23" t="str">
        <f t="shared" si="7"/>
        <v/>
      </c>
      <c r="H23" s="23" t="str">
        <f t="shared" si="1"/>
        <v/>
      </c>
      <c r="I23" s="23" t="str">
        <f t="shared" si="2"/>
        <v/>
      </c>
      <c r="J23" s="160" t="str">
        <f t="shared" si="3"/>
        <v/>
      </c>
      <c r="K23" s="160" t="str">
        <f t="shared" si="4"/>
        <v/>
      </c>
      <c r="L23" s="157">
        <v>10</v>
      </c>
      <c r="M23" s="132"/>
      <c r="N23" s="131"/>
    </row>
    <row r="24" spans="2:14" ht="39" hidden="1" customHeight="1" x14ac:dyDescent="0.3">
      <c r="B24">
        <f t="shared" si="5"/>
        <v>0</v>
      </c>
      <c r="C24" t="str">
        <f t="shared" si="6"/>
        <v>Transport kegiatan Kombel KKG Gugus 2 Sungai Dangin bulan Januari 11</v>
      </c>
      <c r="D24" s="23">
        <v>11</v>
      </c>
      <c r="E24" s="129" t="str">
        <f t="shared" si="8"/>
        <v/>
      </c>
      <c r="F24" s="129" t="str">
        <f t="shared" si="0"/>
        <v/>
      </c>
      <c r="G24" s="23" t="str">
        <f t="shared" si="7"/>
        <v/>
      </c>
      <c r="H24" s="23" t="str">
        <f t="shared" si="1"/>
        <v/>
      </c>
      <c r="I24" s="23" t="str">
        <f t="shared" si="2"/>
        <v/>
      </c>
      <c r="J24" s="160" t="str">
        <f t="shared" si="3"/>
        <v/>
      </c>
      <c r="K24" s="160" t="str">
        <f t="shared" si="4"/>
        <v/>
      </c>
      <c r="L24" s="157">
        <v>11</v>
      </c>
      <c r="M24" s="132"/>
      <c r="N24" s="134"/>
    </row>
    <row r="25" spans="2:14" ht="39" hidden="1" customHeight="1" x14ac:dyDescent="0.3">
      <c r="B25">
        <f t="shared" si="5"/>
        <v>0</v>
      </c>
      <c r="C25" t="str">
        <f t="shared" si="6"/>
        <v>Transport kegiatan Kombel KKG Gugus 2 Sungai Dangin bulan Januari 12</v>
      </c>
      <c r="D25" s="23">
        <v>12</v>
      </c>
      <c r="E25" s="129" t="str">
        <f t="shared" si="8"/>
        <v/>
      </c>
      <c r="F25" s="129" t="str">
        <f t="shared" si="0"/>
        <v/>
      </c>
      <c r="G25" s="23" t="str">
        <f t="shared" si="7"/>
        <v/>
      </c>
      <c r="H25" s="23" t="str">
        <f t="shared" si="1"/>
        <v/>
      </c>
      <c r="I25" s="23" t="str">
        <f t="shared" si="2"/>
        <v/>
      </c>
      <c r="J25" s="160" t="str">
        <f t="shared" si="3"/>
        <v/>
      </c>
      <c r="K25" s="160" t="str">
        <f t="shared" si="4"/>
        <v/>
      </c>
      <c r="L25" s="157">
        <v>12</v>
      </c>
      <c r="M25" s="132"/>
      <c r="N25" s="131"/>
    </row>
    <row r="26" spans="2:14" ht="39" hidden="1" customHeight="1" x14ac:dyDescent="0.3">
      <c r="B26">
        <f t="shared" si="5"/>
        <v>0</v>
      </c>
      <c r="C26" t="str">
        <f t="shared" si="6"/>
        <v>Transport kegiatan Kombel KKG Gugus 2 Sungai Dangin bulan Januari 13</v>
      </c>
      <c r="D26" s="23">
        <v>13</v>
      </c>
      <c r="E26" s="129" t="str">
        <f t="shared" si="8"/>
        <v/>
      </c>
      <c r="F26" s="129" t="str">
        <f t="shared" si="0"/>
        <v/>
      </c>
      <c r="G26" s="23" t="str">
        <f t="shared" si="7"/>
        <v/>
      </c>
      <c r="H26" s="23" t="str">
        <f t="shared" si="1"/>
        <v/>
      </c>
      <c r="I26" s="23" t="str">
        <f t="shared" si="2"/>
        <v/>
      </c>
      <c r="J26" s="160" t="str">
        <f t="shared" si="3"/>
        <v/>
      </c>
      <c r="K26" s="160" t="str">
        <f t="shared" si="4"/>
        <v/>
      </c>
      <c r="L26" s="157">
        <v>13</v>
      </c>
      <c r="M26" s="132"/>
      <c r="N26" s="134"/>
    </row>
    <row r="27" spans="2:14" ht="39" hidden="1" customHeight="1" x14ac:dyDescent="0.3">
      <c r="B27">
        <f t="shared" si="5"/>
        <v>0</v>
      </c>
      <c r="C27" t="str">
        <f t="shared" si="6"/>
        <v>Transport kegiatan Kombel KKG Gugus 2 Sungai Dangin bulan Januari 14</v>
      </c>
      <c r="D27" s="23">
        <v>14</v>
      </c>
      <c r="E27" s="129" t="str">
        <f t="shared" si="8"/>
        <v/>
      </c>
      <c r="F27" s="129" t="str">
        <f t="shared" si="0"/>
        <v/>
      </c>
      <c r="G27" s="23" t="str">
        <f t="shared" si="7"/>
        <v/>
      </c>
      <c r="H27" s="23" t="str">
        <f t="shared" si="1"/>
        <v/>
      </c>
      <c r="I27" s="23" t="str">
        <f t="shared" si="2"/>
        <v/>
      </c>
      <c r="J27" s="160" t="str">
        <f t="shared" si="3"/>
        <v/>
      </c>
      <c r="K27" s="160" t="str">
        <f t="shared" si="4"/>
        <v/>
      </c>
      <c r="L27" s="157">
        <v>14</v>
      </c>
      <c r="M27" s="132"/>
      <c r="N27" s="131"/>
    </row>
    <row r="28" spans="2:14" ht="39" hidden="1" customHeight="1" x14ac:dyDescent="0.3">
      <c r="B28">
        <f t="shared" si="5"/>
        <v>0</v>
      </c>
      <c r="C28" t="str">
        <f t="shared" si="6"/>
        <v>Transport kegiatan Kombel KKG Gugus 2 Sungai Dangin bulan Januari 15</v>
      </c>
      <c r="D28" s="23">
        <v>15</v>
      </c>
      <c r="E28" s="129" t="str">
        <f t="shared" si="8"/>
        <v/>
      </c>
      <c r="F28" s="129" t="str">
        <f t="shared" si="0"/>
        <v/>
      </c>
      <c r="G28" s="23" t="str">
        <f t="shared" si="7"/>
        <v/>
      </c>
      <c r="H28" s="23" t="str">
        <f t="shared" si="1"/>
        <v/>
      </c>
      <c r="I28" s="23" t="str">
        <f t="shared" si="2"/>
        <v/>
      </c>
      <c r="J28" s="160" t="str">
        <f t="shared" si="3"/>
        <v/>
      </c>
      <c r="K28" s="160" t="str">
        <f t="shared" si="4"/>
        <v/>
      </c>
      <c r="L28" s="157">
        <v>15</v>
      </c>
      <c r="M28" s="132"/>
      <c r="N28" s="134"/>
    </row>
    <row r="29" spans="2:14" ht="39" hidden="1" customHeight="1" x14ac:dyDescent="0.3">
      <c r="B29">
        <f t="shared" si="5"/>
        <v>0</v>
      </c>
      <c r="C29" t="str">
        <f t="shared" si="6"/>
        <v>Transport kegiatan Kombel KKG Gugus 2 Sungai Dangin bulan Januari 16</v>
      </c>
      <c r="D29" s="23">
        <v>16</v>
      </c>
      <c r="E29" s="129" t="str">
        <f t="shared" si="8"/>
        <v/>
      </c>
      <c r="F29" s="129" t="str">
        <f t="shared" si="0"/>
        <v/>
      </c>
      <c r="G29" s="23" t="str">
        <f t="shared" si="7"/>
        <v/>
      </c>
      <c r="H29" s="23" t="str">
        <f t="shared" si="1"/>
        <v/>
      </c>
      <c r="I29" s="23" t="str">
        <f t="shared" si="2"/>
        <v/>
      </c>
      <c r="J29" s="160" t="str">
        <f t="shared" si="3"/>
        <v/>
      </c>
      <c r="K29" s="160" t="str">
        <f t="shared" si="4"/>
        <v/>
      </c>
      <c r="L29" s="157">
        <v>16</v>
      </c>
      <c r="M29" s="132"/>
      <c r="N29" s="131"/>
    </row>
    <row r="30" spans="2:14" ht="39" hidden="1" customHeight="1" x14ac:dyDescent="0.3">
      <c r="B30">
        <f t="shared" si="5"/>
        <v>0</v>
      </c>
      <c r="C30" t="str">
        <f t="shared" si="6"/>
        <v>Transport kegiatan Kombel KKG Gugus 2 Sungai Dangin bulan Januari 17</v>
      </c>
      <c r="D30" s="23">
        <v>17</v>
      </c>
      <c r="E30" s="129" t="str">
        <f t="shared" si="8"/>
        <v/>
      </c>
      <c r="F30" s="129" t="str">
        <f t="shared" si="0"/>
        <v/>
      </c>
      <c r="G30" s="23" t="str">
        <f t="shared" si="7"/>
        <v/>
      </c>
      <c r="H30" s="23" t="str">
        <f t="shared" si="1"/>
        <v/>
      </c>
      <c r="I30" s="23" t="str">
        <f t="shared" si="2"/>
        <v/>
      </c>
      <c r="J30" s="160" t="str">
        <f t="shared" si="3"/>
        <v/>
      </c>
      <c r="K30" s="160" t="str">
        <f t="shared" si="4"/>
        <v/>
      </c>
      <c r="L30" s="157">
        <v>17</v>
      </c>
      <c r="M30" s="132"/>
      <c r="N30" s="134"/>
    </row>
    <row r="31" spans="2:14" ht="39" hidden="1" customHeight="1" x14ac:dyDescent="0.3">
      <c r="B31">
        <f t="shared" si="5"/>
        <v>0</v>
      </c>
      <c r="C31" t="str">
        <f t="shared" si="6"/>
        <v>Transport kegiatan Kombel KKG Gugus 2 Sungai Dangin bulan Januari 18</v>
      </c>
      <c r="D31" s="23">
        <v>18</v>
      </c>
      <c r="E31" s="129" t="str">
        <f t="shared" si="8"/>
        <v/>
      </c>
      <c r="F31" s="129" t="str">
        <f t="shared" si="0"/>
        <v/>
      </c>
      <c r="G31" s="23" t="str">
        <f t="shared" si="7"/>
        <v/>
      </c>
      <c r="H31" s="23" t="str">
        <f t="shared" si="1"/>
        <v/>
      </c>
      <c r="I31" s="23" t="str">
        <f t="shared" si="2"/>
        <v/>
      </c>
      <c r="J31" s="160" t="str">
        <f t="shared" si="3"/>
        <v/>
      </c>
      <c r="K31" s="160" t="str">
        <f t="shared" si="4"/>
        <v/>
      </c>
      <c r="L31" s="157">
        <v>18</v>
      </c>
      <c r="M31" s="132"/>
      <c r="N31" s="131"/>
    </row>
    <row r="32" spans="2:14" ht="39" hidden="1" customHeight="1" x14ac:dyDescent="0.3">
      <c r="B32">
        <f t="shared" si="5"/>
        <v>0</v>
      </c>
      <c r="C32" t="str">
        <f t="shared" si="6"/>
        <v>Transport kegiatan Kombel KKG Gugus 2 Sungai Dangin bulan Januari 19</v>
      </c>
      <c r="D32" s="23">
        <v>19</v>
      </c>
      <c r="E32" s="129" t="str">
        <f t="shared" si="8"/>
        <v/>
      </c>
      <c r="F32" s="129" t="str">
        <f t="shared" si="0"/>
        <v/>
      </c>
      <c r="G32" s="23" t="str">
        <f t="shared" si="7"/>
        <v/>
      </c>
      <c r="H32" s="23" t="str">
        <f t="shared" si="1"/>
        <v/>
      </c>
      <c r="I32" s="23" t="str">
        <f t="shared" si="2"/>
        <v/>
      </c>
      <c r="J32" s="160" t="str">
        <f t="shared" si="3"/>
        <v/>
      </c>
      <c r="K32" s="160" t="str">
        <f t="shared" si="4"/>
        <v/>
      </c>
      <c r="L32" s="157">
        <v>19</v>
      </c>
      <c r="M32" s="132"/>
      <c r="N32" s="134"/>
    </row>
    <row r="33" spans="2:14" ht="39" hidden="1" customHeight="1" x14ac:dyDescent="0.3">
      <c r="B33">
        <f t="shared" si="5"/>
        <v>0</v>
      </c>
      <c r="C33" t="str">
        <f t="shared" si="6"/>
        <v>Transport kegiatan Kombel KKG Gugus 2 Sungai Dangin bulan Januari 20</v>
      </c>
      <c r="D33" s="23">
        <v>20</v>
      </c>
      <c r="E33" s="129" t="str">
        <f t="shared" si="8"/>
        <v/>
      </c>
      <c r="F33" s="129" t="str">
        <f t="shared" si="0"/>
        <v/>
      </c>
      <c r="G33" s="23" t="str">
        <f t="shared" si="7"/>
        <v/>
      </c>
      <c r="H33" s="23" t="str">
        <f t="shared" si="1"/>
        <v/>
      </c>
      <c r="I33" s="23" t="str">
        <f t="shared" si="2"/>
        <v/>
      </c>
      <c r="J33" s="160" t="str">
        <f t="shared" si="3"/>
        <v/>
      </c>
      <c r="K33" s="160" t="str">
        <f t="shared" si="4"/>
        <v/>
      </c>
      <c r="L33" s="157">
        <v>20</v>
      </c>
      <c r="M33" s="132"/>
      <c r="N33" s="131"/>
    </row>
    <row r="34" spans="2:14" ht="15.6" x14ac:dyDescent="0.3"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</row>
    <row r="35" spans="2:14" ht="15.6" x14ac:dyDescent="0.3">
      <c r="D35" s="136"/>
      <c r="E35" s="136"/>
      <c r="F35" s="136"/>
      <c r="G35" s="136"/>
      <c r="H35" s="136"/>
      <c r="I35" s="136"/>
      <c r="J35" s="136"/>
      <c r="K35" s="136"/>
      <c r="L35" s="235" t="str">
        <f>IFERROR(VLOOKUP(Q11,data_lampiran2,9,FALSE),"")</f>
        <v/>
      </c>
      <c r="M35" s="235"/>
      <c r="N35" s="235"/>
    </row>
    <row r="36" spans="2:14" ht="15.6" x14ac:dyDescent="0.3">
      <c r="D36" s="22"/>
      <c r="E36" s="22" t="s">
        <v>560</v>
      </c>
      <c r="F36" s="22"/>
      <c r="G36" s="22"/>
      <c r="H36" s="22"/>
      <c r="I36" s="22"/>
      <c r="J36" s="22"/>
      <c r="K36" s="22"/>
      <c r="M36" s="22"/>
      <c r="N36" s="22"/>
    </row>
    <row r="37" spans="2:14" ht="15.6" x14ac:dyDescent="0.3">
      <c r="D37" s="22"/>
      <c r="E37" s="22" t="str">
        <f>'DATA UMUM'!D2</f>
        <v>SD Ninja 01 Konoha</v>
      </c>
      <c r="F37" s="22"/>
      <c r="G37" s="22"/>
      <c r="H37" s="22"/>
      <c r="I37" s="22"/>
      <c r="J37" s="22"/>
      <c r="K37" s="22"/>
      <c r="L37" t="s">
        <v>624</v>
      </c>
      <c r="M37" s="22"/>
      <c r="N37" s="22"/>
    </row>
    <row r="38" spans="2:14" ht="15.6" x14ac:dyDescent="0.3">
      <c r="D38" s="22"/>
      <c r="E38" s="22"/>
      <c r="F38" s="22"/>
      <c r="G38" s="22"/>
      <c r="H38" s="22"/>
      <c r="I38" s="22"/>
      <c r="J38" s="22"/>
      <c r="K38" s="22"/>
      <c r="M38" s="22"/>
      <c r="N38" s="22"/>
    </row>
    <row r="39" spans="2:14" ht="15.6" x14ac:dyDescent="0.3">
      <c r="D39" s="22"/>
      <c r="E39" s="22"/>
      <c r="F39" s="22"/>
      <c r="G39" s="22"/>
      <c r="H39" s="22"/>
      <c r="I39" s="22"/>
      <c r="J39" s="22"/>
      <c r="K39" s="22"/>
      <c r="M39" s="22"/>
      <c r="N39" s="22"/>
    </row>
    <row r="40" spans="2:14" ht="15.6" x14ac:dyDescent="0.3">
      <c r="D40" s="24"/>
      <c r="E40" s="24"/>
      <c r="F40" s="108"/>
      <c r="G40" s="22"/>
      <c r="H40" s="22"/>
      <c r="I40" s="22"/>
      <c r="J40" s="24"/>
      <c r="K40" s="24"/>
      <c r="M40" s="24"/>
      <c r="N40" s="22"/>
    </row>
    <row r="41" spans="2:14" ht="15.6" x14ac:dyDescent="0.3">
      <c r="D41" s="22"/>
      <c r="E41" s="22"/>
      <c r="F41" s="127"/>
      <c r="G41" s="22"/>
      <c r="H41" s="22"/>
      <c r="I41" s="22"/>
      <c r="J41" s="22"/>
      <c r="K41" s="22"/>
      <c r="M41" s="22"/>
      <c r="N41" s="22"/>
    </row>
    <row r="42" spans="2:14" x14ac:dyDescent="0.3">
      <c r="E42" s="159" t="str">
        <f>'DATA UMUM'!D4</f>
        <v>Shikamaru, S.Pd.</v>
      </c>
      <c r="L42" s="159" t="str">
        <f>'DATA UMUM'!D6</f>
        <v>Temari, S.Pd.</v>
      </c>
    </row>
    <row r="43" spans="2:14" x14ac:dyDescent="0.3">
      <c r="E43" t="s">
        <v>628</v>
      </c>
      <c r="L43" t="str">
        <f>"NIP "&amp;'DATA UMUM'!D7</f>
        <v>NIP 53-004</v>
      </c>
    </row>
    <row r="44" spans="2:14" x14ac:dyDescent="0.3">
      <c r="E44" t="str">
        <f>"NIP "&amp;'DATA UMUM'!D5</f>
        <v>NIP 012611</v>
      </c>
    </row>
  </sheetData>
  <autoFilter ref="B12:B33" xr:uid="{00000000-0009-0000-0000-000007000000}">
    <filterColumn colId="0">
      <filters>
        <filter val="1"/>
      </filters>
    </filterColumn>
  </autoFilter>
  <mergeCells count="15">
    <mergeCell ref="L35:N35"/>
    <mergeCell ref="D10:N10"/>
    <mergeCell ref="D11:N11"/>
    <mergeCell ref="J2:L2"/>
    <mergeCell ref="J1:L1"/>
    <mergeCell ref="Q10:T10"/>
    <mergeCell ref="P11:P12"/>
    <mergeCell ref="Q11:T12"/>
    <mergeCell ref="D12:N12"/>
    <mergeCell ref="D3:N3"/>
    <mergeCell ref="D4:N4"/>
    <mergeCell ref="D5:N5"/>
    <mergeCell ref="D6:N6"/>
    <mergeCell ref="D7:N7"/>
    <mergeCell ref="D8:N8"/>
  </mergeCells>
  <dataValidations count="1">
    <dataValidation type="list" allowBlank="1" showInputMessage="1" showErrorMessage="1" sqref="Q11:T12 J2:L2" xr:uid="{00000000-0002-0000-0700-000000000000}">
      <formula1>nama_transaksi</formula1>
    </dataValidation>
  </dataValidations>
  <pageMargins left="0.7" right="0.7" top="0.75" bottom="0.75" header="0.3" footer="0.3"/>
  <pageSetup paperSize="9" scale="69" fitToHeight="0" orientation="landscape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B0F0"/>
    <pageSetUpPr fitToPage="1"/>
  </sheetPr>
  <dimension ref="A1:N24"/>
  <sheetViews>
    <sheetView view="pageBreakPreview" zoomScale="80" zoomScaleNormal="100" workbookViewId="0">
      <selection activeCell="I18" sqref="I18:K18"/>
    </sheetView>
  </sheetViews>
  <sheetFormatPr defaultRowHeight="14.4" x14ac:dyDescent="0.3"/>
  <cols>
    <col min="2" max="2" width="17.109375" bestFit="1" customWidth="1"/>
    <col min="5" max="8" width="11.5546875" bestFit="1" customWidth="1"/>
    <col min="9" max="9" width="11.5546875" customWidth="1"/>
    <col min="10" max="10" width="15" bestFit="1" customWidth="1"/>
    <col min="11" max="11" width="18.5546875" customWidth="1"/>
    <col min="12" max="12" width="10.44140625" customWidth="1"/>
    <col min="13" max="13" width="3.44140625" customWidth="1"/>
  </cols>
  <sheetData>
    <row r="1" spans="1:14" ht="18" x14ac:dyDescent="0.35">
      <c r="A1" s="219" t="s">
        <v>535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</row>
    <row r="3" spans="1:14" x14ac:dyDescent="0.3">
      <c r="A3" t="s">
        <v>536</v>
      </c>
      <c r="C3" t="s">
        <v>701</v>
      </c>
      <c r="N3" s="20" t="s">
        <v>558</v>
      </c>
    </row>
    <row r="4" spans="1:14" x14ac:dyDescent="0.3">
      <c r="A4" t="s">
        <v>537</v>
      </c>
      <c r="C4" t="str">
        <f>": "&amp;'DATA UMUM'!D2</f>
        <v>: SD Ninja 01 Konoha</v>
      </c>
      <c r="N4" s="20" t="s">
        <v>557</v>
      </c>
    </row>
    <row r="6" spans="1:14" ht="26.1" customHeight="1" x14ac:dyDescent="0.3">
      <c r="A6" s="250" t="s">
        <v>520</v>
      </c>
      <c r="B6" s="250" t="s">
        <v>538</v>
      </c>
      <c r="C6" s="250" t="s">
        <v>539</v>
      </c>
      <c r="D6" s="249" t="s">
        <v>540</v>
      </c>
      <c r="E6" s="249"/>
      <c r="F6" s="249"/>
      <c r="G6" s="249"/>
      <c r="H6" s="249"/>
      <c r="I6" s="253" t="s">
        <v>546</v>
      </c>
      <c r="J6" s="253" t="s">
        <v>547</v>
      </c>
      <c r="K6" s="253" t="s">
        <v>548</v>
      </c>
      <c r="L6" s="253" t="s">
        <v>549</v>
      </c>
    </row>
    <row r="7" spans="1:14" ht="26.1" customHeight="1" x14ac:dyDescent="0.3">
      <c r="A7" s="251"/>
      <c r="B7" s="251"/>
      <c r="C7" s="251"/>
      <c r="D7" s="16" t="s">
        <v>541</v>
      </c>
      <c r="E7" s="16" t="s">
        <v>542</v>
      </c>
      <c r="F7" s="16" t="s">
        <v>543</v>
      </c>
      <c r="G7" s="16" t="s">
        <v>544</v>
      </c>
      <c r="H7" s="16" t="s">
        <v>545</v>
      </c>
      <c r="I7" s="254"/>
      <c r="J7" s="254"/>
      <c r="K7" s="254"/>
      <c r="L7" s="254"/>
    </row>
    <row r="8" spans="1:14" ht="26.1" customHeight="1" x14ac:dyDescent="0.3">
      <c r="A8" s="252"/>
      <c r="B8" s="252"/>
      <c r="C8" s="252"/>
      <c r="D8" s="50"/>
      <c r="E8" s="50"/>
      <c r="F8" s="16"/>
      <c r="G8" s="16"/>
      <c r="H8" s="16"/>
      <c r="I8" s="255"/>
      <c r="J8" s="255"/>
      <c r="K8" s="255"/>
      <c r="L8" s="255"/>
    </row>
    <row r="9" spans="1:14" x14ac:dyDescent="0.3">
      <c r="A9" s="15">
        <v>1</v>
      </c>
      <c r="B9" s="1" t="s">
        <v>736</v>
      </c>
      <c r="C9" s="1" t="s">
        <v>700</v>
      </c>
      <c r="D9" s="1"/>
      <c r="E9" s="177">
        <v>45300</v>
      </c>
      <c r="F9" s="177">
        <v>45301</v>
      </c>
      <c r="G9" s="177">
        <v>45302</v>
      </c>
      <c r="H9" s="177">
        <v>45303</v>
      </c>
      <c r="I9" s="1">
        <v>4</v>
      </c>
      <c r="J9" s="48">
        <v>100000</v>
      </c>
      <c r="K9" s="48">
        <f>I9*J9</f>
        <v>400000</v>
      </c>
      <c r="L9" s="1"/>
    </row>
    <row r="10" spans="1:14" x14ac:dyDescent="0.3">
      <c r="A10" s="15">
        <v>2</v>
      </c>
      <c r="B10" s="1" t="s">
        <v>735</v>
      </c>
      <c r="C10" s="1" t="s">
        <v>700</v>
      </c>
      <c r="D10" s="1"/>
      <c r="E10" s="1"/>
      <c r="F10" s="1"/>
      <c r="G10" s="177">
        <v>45302</v>
      </c>
      <c r="H10" s="177">
        <v>45303</v>
      </c>
      <c r="I10" s="1">
        <v>2</v>
      </c>
      <c r="J10" s="48">
        <v>100000</v>
      </c>
      <c r="K10" s="48">
        <f>I10*J10</f>
        <v>200000</v>
      </c>
      <c r="L10" s="1"/>
    </row>
    <row r="11" spans="1:14" x14ac:dyDescent="0.3">
      <c r="A11" s="15"/>
      <c r="B11" s="1"/>
      <c r="C11" s="1"/>
      <c r="D11" s="1"/>
      <c r="E11" s="1"/>
      <c r="F11" s="1"/>
      <c r="G11" s="1"/>
      <c r="H11" s="1"/>
      <c r="I11" s="1"/>
      <c r="J11" s="48"/>
      <c r="K11" s="48"/>
      <c r="L11" s="1"/>
    </row>
    <row r="12" spans="1:14" x14ac:dyDescent="0.3">
      <c r="A12" s="248" t="s">
        <v>550</v>
      </c>
      <c r="B12" s="248"/>
      <c r="C12" s="248"/>
      <c r="D12" s="248"/>
      <c r="E12" s="248"/>
      <c r="F12" s="248"/>
      <c r="G12" s="248"/>
      <c r="H12" s="248"/>
      <c r="I12" s="248"/>
      <c r="J12" s="248"/>
      <c r="K12" s="49">
        <f>SUM(K9:K10)</f>
        <v>600000</v>
      </c>
      <c r="L12" s="1"/>
    </row>
    <row r="17" spans="2:12" x14ac:dyDescent="0.3">
      <c r="B17" s="247" t="s">
        <v>56</v>
      </c>
      <c r="C17" s="247"/>
      <c r="D17" s="247"/>
      <c r="I17" s="247" t="s">
        <v>737</v>
      </c>
      <c r="J17" s="247"/>
      <c r="K17" s="247"/>
      <c r="L17" s="247"/>
    </row>
    <row r="18" spans="2:12" x14ac:dyDescent="0.3">
      <c r="B18" s="247" t="s">
        <v>57</v>
      </c>
      <c r="C18" s="247"/>
      <c r="D18" s="247"/>
      <c r="I18" s="247" t="s">
        <v>552</v>
      </c>
      <c r="J18" s="247"/>
      <c r="K18" s="247"/>
    </row>
    <row r="23" spans="2:12" x14ac:dyDescent="0.3">
      <c r="B23" s="246" t="str">
        <f>'DATA UMUM'!D4</f>
        <v>Shikamaru, S.Pd.</v>
      </c>
      <c r="C23" s="246"/>
      <c r="D23" s="246"/>
      <c r="I23" s="246" t="str">
        <f>'DATA UMUM'!D6</f>
        <v>Temari, S.Pd.</v>
      </c>
      <c r="J23" s="246"/>
      <c r="K23" s="246"/>
    </row>
    <row r="24" spans="2:12" x14ac:dyDescent="0.3">
      <c r="B24" s="247" t="str">
        <f>"NIP. "&amp;'DATA UMUM'!D5</f>
        <v>NIP. 012611</v>
      </c>
      <c r="C24" s="247"/>
      <c r="D24" s="247"/>
      <c r="I24" s="247" t="str">
        <f>"NIP. "&amp;'DATA UMUM'!D7</f>
        <v>NIP. 53-004</v>
      </c>
      <c r="J24" s="247"/>
      <c r="K24" s="247"/>
    </row>
  </sheetData>
  <mergeCells count="18">
    <mergeCell ref="A1:L1"/>
    <mergeCell ref="A12:J12"/>
    <mergeCell ref="B17:D17"/>
    <mergeCell ref="D6:H6"/>
    <mergeCell ref="A6:A8"/>
    <mergeCell ref="B6:B8"/>
    <mergeCell ref="C6:C8"/>
    <mergeCell ref="I6:I8"/>
    <mergeCell ref="J6:J8"/>
    <mergeCell ref="K6:K8"/>
    <mergeCell ref="L6:L8"/>
    <mergeCell ref="I17:L17"/>
    <mergeCell ref="B23:D23"/>
    <mergeCell ref="B24:D24"/>
    <mergeCell ref="I18:K18"/>
    <mergeCell ref="I23:K23"/>
    <mergeCell ref="I24:K24"/>
    <mergeCell ref="B18:D18"/>
  </mergeCells>
  <pageMargins left="0.7" right="0.7" top="0.75" bottom="0.75" header="0.3" footer="0.3"/>
  <pageSetup paperSize="9" scale="90" fitToHeight="0" orientation="landscape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5"/>
    <pageSetUpPr fitToPage="1"/>
  </sheetPr>
  <dimension ref="A1:I33"/>
  <sheetViews>
    <sheetView topLeftCell="A13" workbookViewId="0">
      <selection activeCell="J15" sqref="J15"/>
    </sheetView>
  </sheetViews>
  <sheetFormatPr defaultRowHeight="14.4" x14ac:dyDescent="0.3"/>
  <cols>
    <col min="1" max="1" width="5.109375" customWidth="1"/>
    <col min="2" max="2" width="12.109375" customWidth="1"/>
    <col min="3" max="3" width="18.88671875" customWidth="1"/>
    <col min="4" max="4" width="12.109375" customWidth="1"/>
    <col min="5" max="5" width="14" customWidth="1"/>
    <col min="6" max="7" width="12.109375" customWidth="1"/>
    <col min="8" max="9" width="7.88671875" customWidth="1"/>
  </cols>
  <sheetData>
    <row r="1" spans="1:9" ht="18" x14ac:dyDescent="0.35">
      <c r="A1" s="219" t="s">
        <v>739</v>
      </c>
      <c r="B1" s="219"/>
      <c r="C1" s="219"/>
      <c r="D1" s="219"/>
      <c r="E1" s="219"/>
      <c r="F1" s="219"/>
      <c r="G1" s="219"/>
      <c r="H1" s="219"/>
      <c r="I1" s="219"/>
    </row>
    <row r="2" spans="1:9" ht="18" x14ac:dyDescent="0.35">
      <c r="A2" s="219" t="s">
        <v>740</v>
      </c>
      <c r="B2" s="219"/>
      <c r="C2" s="219"/>
      <c r="D2" s="219"/>
      <c r="E2" s="219"/>
      <c r="F2" s="219"/>
      <c r="G2" s="219"/>
      <c r="H2" s="219"/>
      <c r="I2" s="219"/>
    </row>
    <row r="3" spans="1:9" ht="18" x14ac:dyDescent="0.35">
      <c r="A3" s="219" t="s">
        <v>738</v>
      </c>
      <c r="B3" s="219"/>
      <c r="C3" s="219"/>
      <c r="D3" s="219"/>
      <c r="E3" s="219"/>
      <c r="F3" s="219"/>
      <c r="G3" s="219"/>
      <c r="H3" s="219"/>
      <c r="I3" s="219"/>
    </row>
    <row r="4" spans="1:9" ht="21" x14ac:dyDescent="0.4">
      <c r="A4" s="220" t="str">
        <f>UPPER('DATA UMUM'!D2)</f>
        <v>SD NINJA 01 KONOHA</v>
      </c>
      <c r="B4" s="220"/>
      <c r="C4" s="220"/>
      <c r="D4" s="220"/>
      <c r="E4" s="220"/>
      <c r="F4" s="220"/>
      <c r="G4" s="220"/>
      <c r="H4" s="220"/>
      <c r="I4" s="220"/>
    </row>
    <row r="5" spans="1:9" x14ac:dyDescent="0.3">
      <c r="A5" s="221" t="str">
        <f>"Alamat: "&amp;'DATA UMUM'!D10</f>
        <v>Alamat: Desa Konohagakure, Negara Api. 666</v>
      </c>
      <c r="B5" s="221"/>
      <c r="C5" s="221"/>
      <c r="D5" s="221"/>
      <c r="E5" s="221"/>
      <c r="F5" s="221"/>
      <c r="G5" s="221"/>
      <c r="H5" s="221"/>
      <c r="I5" s="221"/>
    </row>
    <row r="6" spans="1:9" ht="15" thickBot="1" x14ac:dyDescent="0.35">
      <c r="A6" s="257" t="str">
        <f>"email: "&amp;'DATA UMUM'!D11</f>
        <v>email: sdninja@konohagaku.re</v>
      </c>
      <c r="B6" s="257"/>
      <c r="C6" s="257"/>
      <c r="D6" s="257"/>
      <c r="E6" s="257"/>
      <c r="F6" s="257"/>
      <c r="G6" s="257"/>
      <c r="H6" s="257"/>
      <c r="I6" s="257"/>
    </row>
    <row r="7" spans="1:9" ht="16.2" thickTop="1" x14ac:dyDescent="0.3">
      <c r="A7" s="22"/>
      <c r="B7" s="22"/>
      <c r="C7" s="22"/>
      <c r="D7" s="22"/>
      <c r="E7" s="22"/>
      <c r="F7" s="22"/>
      <c r="G7" s="22"/>
      <c r="H7" s="22"/>
      <c r="I7" s="22"/>
    </row>
    <row r="8" spans="1:9" ht="15.6" x14ac:dyDescent="0.3">
      <c r="A8" s="234" t="s">
        <v>564</v>
      </c>
      <c r="B8" s="234"/>
      <c r="C8" s="234"/>
      <c r="D8" s="234"/>
      <c r="E8" s="234"/>
      <c r="F8" s="234"/>
      <c r="G8" s="234"/>
      <c r="H8" s="234"/>
      <c r="I8" s="234"/>
    </row>
    <row r="9" spans="1:9" ht="15.6" x14ac:dyDescent="0.3">
      <c r="A9" s="22"/>
      <c r="B9" s="22"/>
      <c r="C9" s="22"/>
      <c r="D9" s="22"/>
      <c r="E9" s="22"/>
      <c r="F9" s="22"/>
      <c r="G9" s="22"/>
      <c r="H9" s="22"/>
      <c r="I9" s="22"/>
    </row>
    <row r="10" spans="1:9" ht="26.4" customHeight="1" x14ac:dyDescent="0.3">
      <c r="A10" s="22" t="s">
        <v>565</v>
      </c>
      <c r="B10" s="22"/>
      <c r="C10" s="22" t="s">
        <v>55</v>
      </c>
      <c r="D10" s="22"/>
      <c r="E10" s="22"/>
      <c r="F10" s="22"/>
      <c r="G10" s="22"/>
      <c r="H10" s="22"/>
      <c r="I10" s="22"/>
    </row>
    <row r="11" spans="1:9" ht="26.4" customHeight="1" x14ac:dyDescent="0.3">
      <c r="A11" s="22" t="s">
        <v>566</v>
      </c>
      <c r="B11" s="22"/>
      <c r="C11" s="22" t="s">
        <v>55</v>
      </c>
      <c r="D11" s="22"/>
      <c r="E11" s="22"/>
      <c r="F11" s="22"/>
      <c r="G11" s="22"/>
      <c r="H11" s="22"/>
      <c r="I11" s="22"/>
    </row>
    <row r="12" spans="1:9" ht="15.6" x14ac:dyDescent="0.3">
      <c r="A12" s="22"/>
      <c r="B12" s="22"/>
      <c r="C12" s="22"/>
      <c r="D12" s="22"/>
      <c r="E12" s="22"/>
      <c r="F12" s="22"/>
      <c r="G12" s="22"/>
      <c r="H12" s="22"/>
      <c r="I12" s="22"/>
    </row>
    <row r="13" spans="1:9" ht="29.4" customHeight="1" x14ac:dyDescent="0.3">
      <c r="A13" s="23" t="s">
        <v>567</v>
      </c>
      <c r="B13" s="256" t="s">
        <v>568</v>
      </c>
      <c r="C13" s="256"/>
      <c r="D13" s="256" t="s">
        <v>569</v>
      </c>
      <c r="E13" s="256"/>
      <c r="F13" s="256" t="s">
        <v>570</v>
      </c>
      <c r="G13" s="256"/>
      <c r="H13" s="22"/>
      <c r="I13" s="22"/>
    </row>
    <row r="14" spans="1:9" ht="29.4" customHeight="1" x14ac:dyDescent="0.3">
      <c r="A14" s="23">
        <v>1</v>
      </c>
      <c r="B14" s="258" t="str">
        <f>'DATA UMUM'!B17</f>
        <v>Shikamaru, S.Pd.</v>
      </c>
      <c r="C14" s="258"/>
      <c r="D14" s="258" t="s">
        <v>560</v>
      </c>
      <c r="E14" s="258"/>
      <c r="F14" s="258">
        <v>1</v>
      </c>
      <c r="G14" s="258"/>
      <c r="H14" s="22"/>
      <c r="I14" s="22"/>
    </row>
    <row r="15" spans="1:9" ht="29.4" customHeight="1" x14ac:dyDescent="0.3">
      <c r="A15" s="23">
        <v>2</v>
      </c>
      <c r="B15" s="258" t="str">
        <f>'DATA UMUM'!B18</f>
        <v>Temari, S.Pd.</v>
      </c>
      <c r="C15" s="258"/>
      <c r="D15" s="258" t="s">
        <v>562</v>
      </c>
      <c r="E15" s="258"/>
      <c r="F15" s="259">
        <v>2</v>
      </c>
      <c r="G15" s="259"/>
      <c r="H15" s="22"/>
      <c r="I15" s="22"/>
    </row>
    <row r="16" spans="1:9" ht="29.4" customHeight="1" x14ac:dyDescent="0.3">
      <c r="A16" s="23">
        <v>3</v>
      </c>
      <c r="B16" s="258" t="str">
        <f>'DATA UMUM'!B19</f>
        <v>Tenten, S.Pd.</v>
      </c>
      <c r="C16" s="258"/>
      <c r="D16" s="258" t="s">
        <v>562</v>
      </c>
      <c r="E16" s="258"/>
      <c r="F16" s="258">
        <v>3</v>
      </c>
      <c r="G16" s="258"/>
      <c r="H16" s="22"/>
      <c r="I16" s="22"/>
    </row>
    <row r="17" spans="1:9" ht="29.4" customHeight="1" x14ac:dyDescent="0.3">
      <c r="A17" s="23">
        <v>4</v>
      </c>
      <c r="B17" s="258" t="str">
        <f>'DATA UMUM'!B20</f>
        <v>Sakura, S.Pd.</v>
      </c>
      <c r="C17" s="258"/>
      <c r="D17" s="258" t="s">
        <v>562</v>
      </c>
      <c r="E17" s="258"/>
      <c r="F17" s="259">
        <v>4</v>
      </c>
      <c r="G17" s="259"/>
      <c r="H17" s="22"/>
      <c r="I17" s="22"/>
    </row>
    <row r="18" spans="1:9" ht="29.4" customHeight="1" x14ac:dyDescent="0.3">
      <c r="A18" s="23">
        <v>5</v>
      </c>
      <c r="B18" s="258" t="str">
        <f>'DATA UMUM'!B21</f>
        <v>Kiba, S.Pd.</v>
      </c>
      <c r="C18" s="258"/>
      <c r="D18" s="258" t="s">
        <v>563</v>
      </c>
      <c r="E18" s="258"/>
      <c r="F18" s="258">
        <v>5</v>
      </c>
      <c r="G18" s="258"/>
      <c r="H18" s="22"/>
      <c r="I18" s="22"/>
    </row>
    <row r="19" spans="1:9" ht="29.4" customHeight="1" x14ac:dyDescent="0.3">
      <c r="A19" s="23">
        <v>6</v>
      </c>
      <c r="B19" s="258">
        <f>'DATA UMUM'!B22</f>
        <v>0</v>
      </c>
      <c r="C19" s="258"/>
      <c r="D19" s="258" t="s">
        <v>571</v>
      </c>
      <c r="E19" s="258"/>
      <c r="F19" s="259">
        <v>6</v>
      </c>
      <c r="G19" s="259"/>
      <c r="H19" s="22"/>
      <c r="I19" s="22"/>
    </row>
    <row r="20" spans="1:9" ht="29.4" customHeight="1" x14ac:dyDescent="0.3">
      <c r="A20" s="23">
        <v>7</v>
      </c>
      <c r="B20" s="258">
        <f>'DATA UMUM'!B23</f>
        <v>0</v>
      </c>
      <c r="C20" s="258"/>
      <c r="D20" s="258" t="s">
        <v>562</v>
      </c>
      <c r="E20" s="258"/>
      <c r="F20" s="258">
        <v>7</v>
      </c>
      <c r="G20" s="258"/>
      <c r="H20" s="22"/>
      <c r="I20" s="22"/>
    </row>
    <row r="21" spans="1:9" ht="29.4" customHeight="1" x14ac:dyDescent="0.3">
      <c r="A21" s="23">
        <v>8</v>
      </c>
      <c r="B21" s="258">
        <f>'DATA UMUM'!B24</f>
        <v>0</v>
      </c>
      <c r="C21" s="258"/>
      <c r="D21" s="258" t="s">
        <v>562</v>
      </c>
      <c r="E21" s="258"/>
      <c r="F21" s="259">
        <v>8</v>
      </c>
      <c r="G21" s="259"/>
      <c r="H21" s="22"/>
      <c r="I21" s="22"/>
    </row>
    <row r="22" spans="1:9" ht="15.6" x14ac:dyDescent="0.3">
      <c r="A22" s="22"/>
      <c r="B22" s="22"/>
      <c r="C22" s="22"/>
      <c r="D22" s="22"/>
      <c r="E22" s="22"/>
      <c r="F22" s="22"/>
      <c r="G22" s="22"/>
      <c r="H22" s="22"/>
      <c r="I22" s="22"/>
    </row>
    <row r="23" spans="1:9" ht="15.6" x14ac:dyDescent="0.3">
      <c r="A23" s="22"/>
      <c r="B23" s="22"/>
      <c r="C23" s="22"/>
      <c r="D23" s="22"/>
      <c r="E23" s="22"/>
      <c r="F23" s="22"/>
      <c r="G23" s="22"/>
      <c r="H23" s="22"/>
      <c r="I23" s="22"/>
    </row>
    <row r="24" spans="1:9" ht="15.6" x14ac:dyDescent="0.3">
      <c r="A24" s="22"/>
      <c r="B24" s="22"/>
      <c r="C24" s="22"/>
      <c r="D24" s="22"/>
      <c r="E24" s="22"/>
      <c r="F24" s="22"/>
      <c r="G24" s="22"/>
      <c r="H24" s="22"/>
      <c r="I24" s="22"/>
    </row>
    <row r="25" spans="1:9" ht="15.6" x14ac:dyDescent="0.3">
      <c r="A25" s="22"/>
      <c r="B25" s="22"/>
      <c r="C25" s="22"/>
      <c r="D25" s="22"/>
      <c r="E25" s="22" t="s">
        <v>551</v>
      </c>
      <c r="F25" s="22"/>
      <c r="G25" s="22"/>
      <c r="H25" s="22"/>
      <c r="I25" s="22"/>
    </row>
    <row r="26" spans="1:9" ht="15.6" x14ac:dyDescent="0.3">
      <c r="A26" s="22"/>
      <c r="B26" s="22"/>
      <c r="C26" s="22"/>
      <c r="D26" s="22"/>
      <c r="E26" s="22" t="s">
        <v>572</v>
      </c>
      <c r="F26" s="22"/>
      <c r="G26" s="22"/>
      <c r="H26" s="22"/>
      <c r="I26" s="22"/>
    </row>
    <row r="27" spans="1:9" ht="15.6" x14ac:dyDescent="0.3">
      <c r="A27" s="22"/>
      <c r="B27" s="22"/>
      <c r="C27" s="22"/>
      <c r="D27" s="22"/>
      <c r="E27" s="22" t="str">
        <f>'DATA UMUM'!D2</f>
        <v>SD Ninja 01 Konoha</v>
      </c>
      <c r="F27" s="22"/>
      <c r="G27" s="22"/>
      <c r="H27" s="22"/>
      <c r="I27" s="22"/>
    </row>
    <row r="28" spans="1:9" ht="15.6" x14ac:dyDescent="0.3">
      <c r="A28" s="22"/>
      <c r="B28" s="22"/>
      <c r="C28" s="22"/>
      <c r="D28" s="22"/>
      <c r="E28" s="22"/>
      <c r="F28" s="22"/>
      <c r="G28" s="22"/>
      <c r="H28" s="22"/>
      <c r="I28" s="22"/>
    </row>
    <row r="29" spans="1:9" ht="15.6" x14ac:dyDescent="0.3">
      <c r="A29" s="22"/>
      <c r="B29" s="22"/>
      <c r="C29" s="22"/>
      <c r="D29" s="22"/>
      <c r="E29" s="22"/>
      <c r="F29" s="22"/>
      <c r="G29" s="22"/>
      <c r="H29" s="22"/>
      <c r="I29" s="22"/>
    </row>
    <row r="30" spans="1:9" ht="15.6" x14ac:dyDescent="0.3">
      <c r="A30" s="22"/>
      <c r="B30" s="22"/>
      <c r="C30" s="22"/>
      <c r="D30" s="22"/>
      <c r="E30" s="22"/>
      <c r="F30" s="22"/>
      <c r="G30" s="22"/>
      <c r="H30" s="22"/>
      <c r="I30" s="22"/>
    </row>
    <row r="31" spans="1:9" ht="15.6" x14ac:dyDescent="0.3">
      <c r="A31" s="22"/>
      <c r="B31" s="22"/>
      <c r="C31" s="22"/>
      <c r="D31" s="22"/>
      <c r="E31" s="22"/>
      <c r="F31" s="22"/>
      <c r="G31" s="22"/>
      <c r="H31" s="22"/>
      <c r="I31" s="22"/>
    </row>
    <row r="32" spans="1:9" ht="15.6" x14ac:dyDescent="0.3">
      <c r="A32" s="22"/>
      <c r="B32" s="22"/>
      <c r="C32" s="22"/>
      <c r="D32" s="22"/>
      <c r="E32" s="24" t="str">
        <f>'DATA UMUM'!D4</f>
        <v>Shikamaru, S.Pd.</v>
      </c>
      <c r="F32" s="22"/>
      <c r="G32" s="22"/>
      <c r="H32" s="22"/>
      <c r="I32" s="22"/>
    </row>
    <row r="33" spans="1:9" ht="15.6" x14ac:dyDescent="0.3">
      <c r="A33" s="22"/>
      <c r="B33" s="22"/>
      <c r="C33" s="22"/>
      <c r="D33" s="22"/>
      <c r="E33" s="22" t="str">
        <f>"NIP. "&amp;'DATA UMUM'!D5</f>
        <v>NIP. 012611</v>
      </c>
      <c r="F33" s="22"/>
      <c r="G33" s="22"/>
      <c r="H33" s="22"/>
      <c r="I33" s="22"/>
    </row>
  </sheetData>
  <mergeCells count="34">
    <mergeCell ref="D21:E21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B21:C21"/>
    <mergeCell ref="B19:C19"/>
    <mergeCell ref="D13:E13"/>
    <mergeCell ref="D14:E14"/>
    <mergeCell ref="D15:E15"/>
    <mergeCell ref="D16:E16"/>
    <mergeCell ref="D17:E17"/>
    <mergeCell ref="D18:E18"/>
    <mergeCell ref="D19:E19"/>
    <mergeCell ref="D20:E20"/>
    <mergeCell ref="B14:C14"/>
    <mergeCell ref="B15:C15"/>
    <mergeCell ref="B16:C16"/>
    <mergeCell ref="B17:C17"/>
    <mergeCell ref="B18:C18"/>
    <mergeCell ref="B20:C20"/>
    <mergeCell ref="B13:C13"/>
    <mergeCell ref="A1:I1"/>
    <mergeCell ref="A2:I2"/>
    <mergeCell ref="A3:I3"/>
    <mergeCell ref="A4:I4"/>
    <mergeCell ref="A5:I5"/>
    <mergeCell ref="A6:I6"/>
    <mergeCell ref="A8:I8"/>
  </mergeCells>
  <pageMargins left="0.7" right="0.7" top="0.75" bottom="0.75" header="0.3" footer="0.3"/>
  <pageSetup paperSize="9" scale="85" fitToHeight="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Home</vt:lpstr>
      <vt:lpstr>DATA UMUM</vt:lpstr>
      <vt:lpstr>DATA KAS</vt:lpstr>
      <vt:lpstr>DATA LAMPIRAN</vt:lpstr>
      <vt:lpstr>KUITANSI UMUM</vt:lpstr>
      <vt:lpstr>SPMB</vt:lpstr>
      <vt:lpstr>SP. Tugas</vt:lpstr>
      <vt:lpstr>Daftar Penerima</vt:lpstr>
      <vt:lpstr>L. UPAH KERJA</vt:lpstr>
      <vt:lpstr>L. Rapat</vt:lpstr>
      <vt:lpstr>BPU</vt:lpstr>
      <vt:lpstr>BPU_LAMPIRAN2</vt:lpstr>
      <vt:lpstr>DAFTAR_TOKO</vt:lpstr>
      <vt:lpstr>data_guru</vt:lpstr>
      <vt:lpstr>DATA_ITEM</vt:lpstr>
      <vt:lpstr>DATA_KAS</vt:lpstr>
      <vt:lpstr>data_kas3</vt:lpstr>
      <vt:lpstr>DATA_LAMPIRAN</vt:lpstr>
      <vt:lpstr>data_lampiran2</vt:lpstr>
      <vt:lpstr>data_lampiran3</vt:lpstr>
      <vt:lpstr>nama_guru</vt:lpstr>
      <vt:lpstr>NAMA_TOKO</vt:lpstr>
      <vt:lpstr>nama_transaksi</vt:lpstr>
      <vt:lpstr>NO_BUKTI</vt:lpstr>
      <vt:lpstr>'Daftar Penerima'!Print_Area</vt:lpstr>
      <vt:lpstr>'KUITANSI UMUM'!Print_Area</vt:lpstr>
      <vt:lpstr>'L. Rapat'!Print_Area</vt:lpstr>
      <vt:lpstr>'L. UPAH KERJA'!Print_Area</vt:lpstr>
      <vt:lpstr>'SP. Tugas'!Print_Area</vt:lpstr>
      <vt:lpstr>SPMB!Print_Area</vt:lpstr>
      <vt:lpstr>URAIAN</vt:lpstr>
      <vt:lpstr>URAIAN2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SD Negeri 19 Periji</cp:lastModifiedBy>
  <cp:lastPrinted>2024-08-13T10:43:26Z</cp:lastPrinted>
  <dcterms:created xsi:type="dcterms:W3CDTF">2022-07-29T12:26:22Z</dcterms:created>
  <dcterms:modified xsi:type="dcterms:W3CDTF">2024-11-15T10:30:20Z</dcterms:modified>
</cp:coreProperties>
</file>